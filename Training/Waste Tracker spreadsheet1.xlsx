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2"/>
  <workbookPr/>
  <mc:AlternateContent xmlns:mc="http://schemas.openxmlformats.org/markup-compatibility/2006">
    <mc:Choice Requires="x15">
      <x15ac:absPath xmlns:x15ac="http://schemas.microsoft.com/office/spreadsheetml/2010/11/ac" url="C:\Users\GreenB02\Dropbox\Waste Not\"/>
    </mc:Choice>
  </mc:AlternateContent>
  <xr:revisionPtr revIDLastSave="2" documentId="11_C231F729660E91DC1E511872017986E03210A444" xr6:coauthVersionLast="47" xr6:coauthVersionMax="47" xr10:uidLastSave="{4C9F40DA-5935-45F9-9423-8F711957D0C2}"/>
  <bookViews>
    <workbookView xWindow="0" yWindow="0" windowWidth="21600" windowHeight="9405" xr2:uid="{00000000-000D-0000-FFFF-FFFF00000000}"/>
  </bookViews>
  <sheets>
    <sheet name="Manager Station (M-F)" sheetId="6" r:id="rId1"/>
    <sheet name="Manager Station (Mon-Sun)" sheetId="3" r:id="rId2"/>
    <sheet name="Station Tracking" sheetId="4" r:id="rId3"/>
    <sheet name="Food Recovery" sheetId="5" r:id="rId4"/>
    <sheet name="Food Waste" sheetId="1" r:id="rId5"/>
    <sheet name="Non-Food Waste" sheetId="2" r:id="rId6"/>
  </sheets>
  <definedNames>
    <definedName name="_xlnm.Print_Area" localSheetId="1">'Manager Station (Mon-Sun)'!$A$2:$I$31</definedName>
    <definedName name="_xlnm.Print_Area" localSheetId="2">Table8[#All]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1" i="6" l="1"/>
  <c r="H31" i="6"/>
  <c r="G31" i="6"/>
  <c r="F31" i="6"/>
  <c r="E31" i="6"/>
  <c r="D31" i="6"/>
  <c r="C31" i="6"/>
  <c r="B31" i="6"/>
  <c r="J30" i="6"/>
  <c r="J29" i="6"/>
  <c r="J28" i="6"/>
  <c r="I25" i="6"/>
  <c r="H25" i="6"/>
  <c r="G25" i="6"/>
  <c r="F25" i="6"/>
  <c r="E25" i="6"/>
  <c r="D25" i="6"/>
  <c r="C25" i="6"/>
  <c r="B25" i="6"/>
  <c r="J24" i="6"/>
  <c r="J23" i="6"/>
  <c r="J22" i="6"/>
  <c r="I19" i="6"/>
  <c r="H19" i="6"/>
  <c r="G19" i="6"/>
  <c r="F19" i="6"/>
  <c r="E19" i="6"/>
  <c r="D19" i="6"/>
  <c r="C19" i="6"/>
  <c r="B19" i="6"/>
  <c r="J19" i="6" s="1"/>
  <c r="J18" i="6"/>
  <c r="J17" i="6"/>
  <c r="J16" i="6"/>
  <c r="I13" i="6"/>
  <c r="H13" i="6"/>
  <c r="G13" i="6"/>
  <c r="F13" i="6"/>
  <c r="E13" i="6"/>
  <c r="D13" i="6"/>
  <c r="C13" i="6"/>
  <c r="B13" i="6"/>
  <c r="J12" i="6"/>
  <c r="J11" i="6"/>
  <c r="J10" i="6"/>
  <c r="I7" i="6"/>
  <c r="H7" i="6"/>
  <c r="G7" i="6"/>
  <c r="F7" i="6"/>
  <c r="E7" i="6"/>
  <c r="D7" i="6"/>
  <c r="C7" i="6"/>
  <c r="B7" i="6"/>
  <c r="J6" i="6"/>
  <c r="J5" i="6"/>
  <c r="J4" i="6"/>
  <c r="B7" i="3"/>
  <c r="C13" i="3"/>
  <c r="D13" i="3"/>
  <c r="E13" i="3"/>
  <c r="F13" i="3"/>
  <c r="G13" i="3"/>
  <c r="H13" i="3"/>
  <c r="I13" i="3"/>
  <c r="J31" i="6" l="1"/>
  <c r="J7" i="6"/>
  <c r="J25" i="6"/>
  <c r="J13" i="6"/>
  <c r="F19" i="3"/>
  <c r="H19" i="3"/>
  <c r="D19" i="3"/>
  <c r="I19" i="3"/>
  <c r="G19" i="3"/>
  <c r="E19" i="3"/>
  <c r="J5" i="3"/>
  <c r="J4" i="3"/>
  <c r="C7" i="3"/>
  <c r="I7" i="3"/>
  <c r="G7" i="3"/>
  <c r="J6" i="3"/>
  <c r="H7" i="3"/>
  <c r="F7" i="3"/>
  <c r="D7" i="3"/>
  <c r="D25" i="3" l="1"/>
  <c r="C19" i="3"/>
  <c r="H25" i="3"/>
  <c r="G25" i="3"/>
  <c r="I25" i="3"/>
  <c r="E7" i="3"/>
  <c r="J7" i="3"/>
  <c r="E25" i="3" l="1"/>
  <c r="F25" i="3"/>
  <c r="H31" i="3"/>
  <c r="D31" i="3"/>
  <c r="D37" i="3" s="1"/>
  <c r="G31" i="3"/>
  <c r="I31" i="3"/>
  <c r="J10" i="3"/>
  <c r="J11" i="3"/>
  <c r="F31" i="3" l="1"/>
  <c r="F37" i="3" s="1"/>
  <c r="E31" i="3"/>
  <c r="E37" i="3" s="1"/>
  <c r="D43" i="3"/>
  <c r="J12" i="3"/>
  <c r="B13" i="3"/>
  <c r="J13" i="3" l="1"/>
  <c r="I37" i="3"/>
  <c r="I43" i="3" s="1"/>
  <c r="H37" i="3"/>
  <c r="E43" i="3"/>
  <c r="F43" i="3"/>
  <c r="G37" i="3"/>
  <c r="J17" i="3" l="1"/>
  <c r="J16" i="3"/>
  <c r="H43" i="3"/>
  <c r="G43" i="3"/>
  <c r="B19" i="3" l="1"/>
  <c r="J18" i="3"/>
  <c r="C25" i="3"/>
  <c r="J19" i="3" l="1"/>
  <c r="J23" i="3" l="1"/>
  <c r="J22" i="3"/>
  <c r="J24" i="3" l="1"/>
  <c r="B25" i="3"/>
  <c r="C31" i="3"/>
  <c r="J25" i="3" l="1"/>
  <c r="J28" i="3" l="1"/>
  <c r="J29" i="3" l="1"/>
  <c r="B31" i="3" l="1"/>
  <c r="J30" i="3"/>
  <c r="C37" i="3"/>
  <c r="J31" i="3" l="1"/>
  <c r="J35" i="3" l="1"/>
  <c r="J34" i="3"/>
  <c r="B37" i="3" l="1"/>
  <c r="J36" i="3" l="1"/>
  <c r="J37" i="3"/>
  <c r="C43" i="3"/>
  <c r="J40" i="3" l="1"/>
  <c r="J41" i="3" l="1"/>
  <c r="B43" i="3" l="1"/>
  <c r="J43" i="3" s="1"/>
  <c r="J42" i="3"/>
</calcChain>
</file>

<file path=xl/sharedStrings.xml><?xml version="1.0" encoding="utf-8"?>
<sst xmlns="http://schemas.openxmlformats.org/spreadsheetml/2006/main" count="297" uniqueCount="31">
  <si>
    <t>*Edit stations for your specific account</t>
  </si>
  <si>
    <t>Monday</t>
  </si>
  <si>
    <t>Station</t>
  </si>
  <si>
    <t xml:space="preserve">Salad </t>
  </si>
  <si>
    <t>Grill</t>
  </si>
  <si>
    <t>Exhilbition</t>
  </si>
  <si>
    <t>Chef Corner</t>
  </si>
  <si>
    <t>Pizza</t>
  </si>
  <si>
    <t>Deli</t>
  </si>
  <si>
    <t>Entrée</t>
  </si>
  <si>
    <t>Breakfast</t>
  </si>
  <si>
    <t>Total</t>
  </si>
  <si>
    <t>Production Waste</t>
  </si>
  <si>
    <t>Over Production Waste</t>
  </si>
  <si>
    <t>Unused/Out of Date Inventory</t>
  </si>
  <si>
    <t>Tuesday</t>
  </si>
  <si>
    <t>Wednesday</t>
  </si>
  <si>
    <t>Thursday</t>
  </si>
  <si>
    <t>Friday</t>
  </si>
  <si>
    <t>Saturday</t>
  </si>
  <si>
    <t>Sunday</t>
  </si>
  <si>
    <t>Station Name:</t>
  </si>
  <si>
    <t xml:space="preserve"> </t>
  </si>
  <si>
    <t>Total Pounds Recovered</t>
  </si>
  <si>
    <t>(use tallies)</t>
  </si>
  <si>
    <t># of pounds to be Recycled</t>
  </si>
  <si>
    <t># of pounds to Compost</t>
  </si>
  <si>
    <t># of pounds to Landfill</t>
  </si>
  <si>
    <t># of pounds of paper recycled</t>
  </si>
  <si>
    <t># of pounds of cardboard recycled</t>
  </si>
  <si>
    <t># of pounds of fryer oil recycled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</si>
</sst>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0" fillId="0" borderId="3" xfId="0" applyBorder="1"/>
    <xf numFmtId="0" fontId="1" fillId="0" borderId="4" xfId="0" applyFont="1" applyBorder="1"/>
    <xf numFmtId="0" fontId="1" fillId="0" borderId="2" xfId="0" applyFont="1" applyBorder="1"/>
    <xf numFmtId="0" fontId="1" fillId="0" borderId="5" xfId="0" applyFont="1" applyBorder="1"/>
    <xf numFmtId="0" fontId="0" fillId="0" borderId="6" xfId="0" applyBorder="1"/>
    <xf numFmtId="0" fontId="1" fillId="0" borderId="3" xfId="0" applyFont="1" applyBorder="1"/>
    <xf numFmtId="0" fontId="1" fillId="0" borderId="1" xfId="0" applyFont="1" applyBorder="1"/>
    <xf numFmtId="0" fontId="0" fillId="0" borderId="7" xfId="0" applyBorder="1"/>
    <xf numFmtId="0" fontId="1" fillId="0" borderId="7" xfId="0" applyFont="1" applyBorder="1" applyAlignment="1">
      <alignment vertical="center"/>
    </xf>
    <xf numFmtId="0" fontId="0" fillId="0" borderId="7" xfId="0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0" fillId="0" borderId="0" xfId="0" applyAlignment="1">
      <alignment horizontal="center"/>
    </xf>
    <xf numFmtId="0" fontId="1" fillId="0" borderId="6" xfId="0" applyFont="1" applyBorder="1"/>
    <xf numFmtId="0" fontId="0" fillId="0" borderId="1" xfId="0" applyBorder="1"/>
    <xf numFmtId="0" fontId="0" fillId="0" borderId="8" xfId="0" applyBorder="1"/>
    <xf numFmtId="0" fontId="0" fillId="0" borderId="5" xfId="0" applyBorder="1"/>
    <xf numFmtId="0" fontId="1" fillId="0" borderId="9" xfId="0" applyFont="1" applyBorder="1"/>
    <xf numFmtId="0" fontId="1" fillId="0" borderId="10" xfId="0" applyFont="1" applyBorder="1"/>
    <xf numFmtId="0" fontId="1" fillId="0" borderId="11" xfId="0" applyFont="1" applyBorder="1"/>
    <xf numFmtId="0" fontId="2" fillId="0" borderId="3" xfId="0" applyFont="1" applyBorder="1" applyAlignment="1">
      <alignment vertical="top"/>
    </xf>
    <xf numFmtId="0" fontId="3" fillId="2" borderId="0" xfId="0" applyFont="1" applyFill="1"/>
    <xf numFmtId="0" fontId="3" fillId="2" borderId="12" xfId="0" applyFont="1" applyFill="1" applyBorder="1"/>
    <xf numFmtId="0" fontId="3" fillId="2" borderId="13" xfId="0" applyFont="1" applyFill="1" applyBorder="1"/>
    <xf numFmtId="0" fontId="0" fillId="0" borderId="12" xfId="0" applyBorder="1"/>
  </cellXfs>
  <cellStyles count="1">
    <cellStyle name="Normal" xfId="0" builtinId="0"/>
  </cellStyles>
  <dxfs count="144">
    <dxf>
      <border diagonalUp="0" diagonalDown="0">
        <left/>
        <right style="thin">
          <color indexed="64"/>
        </right>
        <top/>
        <bottom/>
        <vertical/>
        <horizontal/>
      </border>
    </dxf>
    <dxf>
      <border diagonalUp="0" diagonalDown="0">
        <left/>
        <right style="thin">
          <color indexed="64"/>
        </right>
        <top/>
        <bottom/>
        <vertical/>
        <horizontal/>
      </border>
    </dxf>
    <dxf>
      <border outline="0">
        <right style="thin">
          <color indexed="64"/>
        </right>
        <top style="thin">
          <color indexed="64"/>
        </top>
        <bottom style="double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alignment horizontal="general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right style="thin">
          <color indexed="64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right style="thin">
          <color indexed="64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 style="thin">
          <color indexed="64"/>
        </right>
        <top/>
        <bottom/>
        <vertical/>
        <horizontal/>
      </border>
    </dxf>
    <dxf>
      <border outline="0">
        <bottom style="thin">
          <color indexed="64"/>
        </bottom>
      </border>
    </dxf>
    <dxf>
      <border outline="0">
        <right style="thin">
          <color indexed="64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right style="thin">
          <color indexed="64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/>
        <right style="thin">
          <color indexed="64"/>
        </right>
        <top/>
        <bottom/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 style="thin">
          <color indexed="64"/>
        </right>
        <top/>
        <bottom/>
        <vertical/>
        <horizontal/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numFmt numFmtId="0" formatCode="General"/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 style="thin">
          <color indexed="64"/>
        </right>
        <top/>
        <bottom/>
        <vertical/>
        <horizontal/>
      </border>
    </dxf>
    <dxf>
      <border outline="0">
        <right style="thin">
          <color indexed="64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right style="thin">
          <color indexed="64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 style="thin">
          <color indexed="64"/>
        </right>
        <top/>
        <bottom/>
        <vertical/>
        <horizontal/>
      </border>
    </dxf>
    <dxf>
      <border outline="0">
        <bottom style="thin">
          <color indexed="64"/>
        </bottom>
      </border>
    </dxf>
    <dxf>
      <border outline="0">
        <right style="thin">
          <color indexed="64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right style="thin">
          <color indexed="64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/>
        <right style="thin">
          <color indexed="64"/>
        </right>
        <top/>
        <bottom/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 style="thin">
          <color indexed="64"/>
        </right>
        <top/>
        <bottom/>
        <vertical/>
        <horizontal/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numFmt numFmtId="0" formatCode="General"/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 style="thin">
          <color indexed="64"/>
        </right>
        <top/>
        <bottom/>
        <vertical/>
        <horizontal/>
      </border>
    </dxf>
    <dxf>
      <border outline="0">
        <right style="thin">
          <color indexed="64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right style="thin">
          <color indexed="64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0000000}" name="Table216" displayName="Table216" ref="A27:J31" totalsRowShown="0" headerRowDxfId="143" tableBorderDxfId="142">
  <tableColumns count="10">
    <tableColumn id="1" xr3:uid="{00000000-0010-0000-0000-000001000000}" name="Station"/>
    <tableColumn id="2" xr3:uid="{00000000-0010-0000-0000-000002000000}" name="Salad " dataDxfId="141">
      <calculatedColumnFormula>SUM(B25:B27)</calculatedColumnFormula>
    </tableColumn>
    <tableColumn id="3" xr3:uid="{00000000-0010-0000-0000-000003000000}" name="Grill" dataDxfId="140">
      <calculatedColumnFormula>SUM(C25:C27)</calculatedColumnFormula>
    </tableColumn>
    <tableColumn id="4" xr3:uid="{00000000-0010-0000-0000-000004000000}" name="Exhilbition" dataDxfId="139">
      <calculatedColumnFormula>SUM(D25:D27)</calculatedColumnFormula>
    </tableColumn>
    <tableColumn id="5" xr3:uid="{00000000-0010-0000-0000-000005000000}" name="Chef Corner" dataDxfId="138">
      <calculatedColumnFormula>SUM(E25:E27)</calculatedColumnFormula>
    </tableColumn>
    <tableColumn id="6" xr3:uid="{00000000-0010-0000-0000-000006000000}" name="Pizza" dataDxfId="137">
      <calculatedColumnFormula>SUM(F25:F27)</calculatedColumnFormula>
    </tableColumn>
    <tableColumn id="7" xr3:uid="{00000000-0010-0000-0000-000007000000}" name="Deli" dataDxfId="136">
      <calculatedColumnFormula>SUM(G25:G27)</calculatedColumnFormula>
    </tableColumn>
    <tableColumn id="8" xr3:uid="{00000000-0010-0000-0000-000008000000}" name="Entrée" dataDxfId="135">
      <calculatedColumnFormula>SUM(H25:H27)</calculatedColumnFormula>
    </tableColumn>
    <tableColumn id="9" xr3:uid="{00000000-0010-0000-0000-000009000000}" name="Breakfast" dataDxfId="134">
      <calculatedColumnFormula>SUM(I25:I27)</calculatedColumnFormula>
    </tableColumn>
    <tableColumn id="10" xr3:uid="{00000000-0010-0000-0000-00000A000000}" name="Total" dataDxfId="133">
      <calculatedColumnFormula>SUM(Table5[[#This Row],[Salad ]:[Breakfast]])</calculatedColumnFormula>
    </tableColumn>
  </tableColumns>
  <tableStyleInfo name="TableStyleLight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1000000}" name="Table317" displayName="Table317" ref="A21:J25" totalsRowShown="0" headerRowDxfId="132" tableBorderDxfId="131">
  <tableColumns count="10">
    <tableColumn id="1" xr3:uid="{00000000-0010-0000-0100-000001000000}" name="Station" dataDxfId="130"/>
    <tableColumn id="2" xr3:uid="{00000000-0010-0000-0100-000002000000}" name="Salad " dataDxfId="129">
      <calculatedColumnFormula>SUM(B19:B21)</calculatedColumnFormula>
    </tableColumn>
    <tableColumn id="3" xr3:uid="{00000000-0010-0000-0100-000003000000}" name="Grill" dataDxfId="128">
      <calculatedColumnFormula>SUM(C19:C21)</calculatedColumnFormula>
    </tableColumn>
    <tableColumn id="4" xr3:uid="{00000000-0010-0000-0100-000004000000}" name="Exhilbition" dataDxfId="127">
      <calculatedColumnFormula>SUM(D19:D21)</calculatedColumnFormula>
    </tableColumn>
    <tableColumn id="5" xr3:uid="{00000000-0010-0000-0100-000005000000}" name="Chef Corner" dataDxfId="126">
      <calculatedColumnFormula>SUM(E19:E21)</calculatedColumnFormula>
    </tableColumn>
    <tableColumn id="6" xr3:uid="{00000000-0010-0000-0100-000006000000}" name="Pizza" dataDxfId="125">
      <calculatedColumnFormula>SUM(F19:F21)</calculatedColumnFormula>
    </tableColumn>
    <tableColumn id="7" xr3:uid="{00000000-0010-0000-0100-000007000000}" name="Deli" dataDxfId="124">
      <calculatedColumnFormula>SUM(G19:G21)</calculatedColumnFormula>
    </tableColumn>
    <tableColumn id="8" xr3:uid="{00000000-0010-0000-0100-000008000000}" name="Entrée" dataDxfId="123">
      <calculatedColumnFormula>SUM(H19:H21)</calculatedColumnFormula>
    </tableColumn>
    <tableColumn id="9" xr3:uid="{00000000-0010-0000-0100-000009000000}" name="Breakfast" dataDxfId="122">
      <calculatedColumnFormula>SUM(I19:I21)</calculatedColumnFormula>
    </tableColumn>
    <tableColumn id="10" xr3:uid="{00000000-0010-0000-0100-00000A000000}" name="Total" dataDxfId="121">
      <calculatedColumnFormula>SUM(Table317[[#This Row],[Salad ]:[Breakfast]])</calculatedColumnFormula>
    </tableColumn>
  </tableColumns>
  <tableStyleInfo name="TableStyleLight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02000000}" name="Table518" displayName="Table518" ref="A15:J19" totalsRowShown="0" headerRowDxfId="120" headerRowBorderDxfId="119">
  <tableColumns count="10">
    <tableColumn id="1" xr3:uid="{00000000-0010-0000-0200-000001000000}" name="Station" dataDxfId="118"/>
    <tableColumn id="2" xr3:uid="{00000000-0010-0000-0200-000002000000}" name="Salad " dataDxfId="117">
      <calculatedColumnFormula>SUM(B13:B15)</calculatedColumnFormula>
    </tableColumn>
    <tableColumn id="3" xr3:uid="{00000000-0010-0000-0200-000003000000}" name="Grill" dataDxfId="116">
      <calculatedColumnFormula>SUM(C13:C15)</calculatedColumnFormula>
    </tableColumn>
    <tableColumn id="4" xr3:uid="{00000000-0010-0000-0200-000004000000}" name="Exhilbition" dataDxfId="115">
      <calculatedColumnFormula>SUM(D13:D15)</calculatedColumnFormula>
    </tableColumn>
    <tableColumn id="5" xr3:uid="{00000000-0010-0000-0200-000005000000}" name="Chef Corner" dataDxfId="114">
      <calculatedColumnFormula>SUM(E13:E15)</calculatedColumnFormula>
    </tableColumn>
    <tableColumn id="6" xr3:uid="{00000000-0010-0000-0200-000006000000}" name="Pizza" dataDxfId="113">
      <calculatedColumnFormula>SUM(F13:F15)</calculatedColumnFormula>
    </tableColumn>
    <tableColumn id="7" xr3:uid="{00000000-0010-0000-0200-000007000000}" name="Deli" dataDxfId="112">
      <calculatedColumnFormula>SUM(G13:G15)</calculatedColumnFormula>
    </tableColumn>
    <tableColumn id="8" xr3:uid="{00000000-0010-0000-0200-000008000000}" name="Entrée" dataDxfId="111">
      <calculatedColumnFormula>SUM(H13:H15)</calculatedColumnFormula>
    </tableColumn>
    <tableColumn id="9" xr3:uid="{00000000-0010-0000-0200-000009000000}" name="Breakfast" dataDxfId="110">
      <calculatedColumnFormula>SUM(I13:I15)</calculatedColumnFormula>
    </tableColumn>
    <tableColumn id="10" xr3:uid="{00000000-0010-0000-0200-00000A000000}" name="Total" dataDxfId="109">
      <calculatedColumnFormula>SUM(Table518[[#This Row],[Salad ]:[Breakfast]])</calculatedColumnFormula>
    </tableColumn>
  </tableColumns>
  <tableStyleInfo name="TableStyleLight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03000000}" name="Table619" displayName="Table619" ref="A9:J13" totalsRowShown="0" headerRowDxfId="108" headerRowBorderDxfId="106" tableBorderDxfId="107">
  <tableColumns count="10">
    <tableColumn id="1" xr3:uid="{00000000-0010-0000-0300-000001000000}" name="Station"/>
    <tableColumn id="2" xr3:uid="{00000000-0010-0000-0300-000002000000}" name="Salad " dataDxfId="105">
      <calculatedColumnFormula>SUM(B7:B9)</calculatedColumnFormula>
    </tableColumn>
    <tableColumn id="3" xr3:uid="{00000000-0010-0000-0300-000003000000}" name="Grill" dataDxfId="104"/>
    <tableColumn id="4" xr3:uid="{00000000-0010-0000-0300-000004000000}" name="Exhilbition" dataDxfId="103"/>
    <tableColumn id="5" xr3:uid="{00000000-0010-0000-0300-000005000000}" name="Chef Corner" dataDxfId="102"/>
    <tableColumn id="6" xr3:uid="{00000000-0010-0000-0300-000006000000}" name="Pizza" dataDxfId="101"/>
    <tableColumn id="7" xr3:uid="{00000000-0010-0000-0300-000007000000}" name="Deli" dataDxfId="100"/>
    <tableColumn id="8" xr3:uid="{00000000-0010-0000-0300-000008000000}" name="Entrée" dataDxfId="99"/>
    <tableColumn id="9" xr3:uid="{00000000-0010-0000-0300-000009000000}" name="Breakfast"/>
    <tableColumn id="10" xr3:uid="{00000000-0010-0000-0300-00000A000000}" name="Total" dataDxfId="98">
      <calculatedColumnFormula>SUM(Table619[[#This Row],[Salad ]:[Breakfast]])</calculatedColumnFormula>
    </tableColumn>
  </tableColumns>
  <tableStyleInfo name="TableStyleLight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04000000}" name="Table720" displayName="Table720" ref="A3:J7" totalsRowShown="0" headerRowDxfId="97" headerRowBorderDxfId="95" tableBorderDxfId="96">
  <tableColumns count="10">
    <tableColumn id="1" xr3:uid="{00000000-0010-0000-0400-000001000000}" name="Station" dataDxfId="94"/>
    <tableColumn id="2" xr3:uid="{00000000-0010-0000-0400-000002000000}" name="Salad " dataDxfId="93">
      <calculatedColumnFormula>SUM(B1:B3)</calculatedColumnFormula>
    </tableColumn>
    <tableColumn id="3" xr3:uid="{00000000-0010-0000-0400-000003000000}" name="Grill" dataDxfId="92">
      <calculatedColumnFormula>SUM(C1:C3)</calculatedColumnFormula>
    </tableColumn>
    <tableColumn id="4" xr3:uid="{00000000-0010-0000-0400-000004000000}" name="Exhilbition" dataDxfId="91">
      <calculatedColumnFormula>SUM(D1:D3)</calculatedColumnFormula>
    </tableColumn>
    <tableColumn id="5" xr3:uid="{00000000-0010-0000-0400-000005000000}" name="Chef Corner" dataDxfId="90">
      <calculatedColumnFormula>SUM(E1:E3)</calculatedColumnFormula>
    </tableColumn>
    <tableColumn id="6" xr3:uid="{00000000-0010-0000-0400-000006000000}" name="Pizza" dataDxfId="89">
      <calculatedColumnFormula>SUM(F1:F3)</calculatedColumnFormula>
    </tableColumn>
    <tableColumn id="7" xr3:uid="{00000000-0010-0000-0400-000007000000}" name="Deli" dataDxfId="88">
      <calculatedColumnFormula>SUM(G1:G3)</calculatedColumnFormula>
    </tableColumn>
    <tableColumn id="8" xr3:uid="{00000000-0010-0000-0400-000008000000}" name="Entrée" dataDxfId="87">
      <calculatedColumnFormula>SUM(H1:H3)</calculatedColumnFormula>
    </tableColumn>
    <tableColumn id="9" xr3:uid="{00000000-0010-0000-0400-000009000000}" name="Breakfast" dataDxfId="86">
      <calculatedColumnFormula>SUM(I1:I3)</calculatedColumnFormula>
    </tableColumn>
    <tableColumn id="10" xr3:uid="{00000000-0010-0000-0400-00000A000000}" name="Total" dataDxfId="85">
      <calculatedColumnFormula>SUM(Table720[[#This Row],[Salad ]:[Breakfast]])</calculatedColumnFormula>
    </tableColumn>
  </tableColumns>
  <tableStyleInfo name="TableStyleLight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5000000}" name="Table2" displayName="Table2" ref="A27:J32" totalsRowShown="0" headerRowDxfId="84" tableBorderDxfId="83">
  <tableColumns count="10">
    <tableColumn id="1" xr3:uid="{00000000-0010-0000-0500-000001000000}" name="Station"/>
    <tableColumn id="2" xr3:uid="{00000000-0010-0000-0500-000002000000}" name="Salad " dataDxfId="82">
      <calculatedColumnFormula>SUM(B25:B27)</calculatedColumnFormula>
    </tableColumn>
    <tableColumn id="3" xr3:uid="{00000000-0010-0000-0500-000003000000}" name="Grill" dataDxfId="81">
      <calculatedColumnFormula>SUM(C25:C27)</calculatedColumnFormula>
    </tableColumn>
    <tableColumn id="4" xr3:uid="{00000000-0010-0000-0500-000004000000}" name="Exhilbition" dataDxfId="80">
      <calculatedColumnFormula>SUM(D25:D27)</calculatedColumnFormula>
    </tableColumn>
    <tableColumn id="5" xr3:uid="{00000000-0010-0000-0500-000005000000}" name="Chef Corner" dataDxfId="79">
      <calculatedColumnFormula>SUM(E25:E27)</calculatedColumnFormula>
    </tableColumn>
    <tableColumn id="6" xr3:uid="{00000000-0010-0000-0500-000006000000}" name="Pizza" dataDxfId="78">
      <calculatedColumnFormula>SUM(F25:F27)</calculatedColumnFormula>
    </tableColumn>
    <tableColumn id="7" xr3:uid="{00000000-0010-0000-0500-000007000000}" name="Deli" dataDxfId="77">
      <calculatedColumnFormula>SUM(G25:G27)</calculatedColumnFormula>
    </tableColumn>
    <tableColumn id="8" xr3:uid="{00000000-0010-0000-0500-000008000000}" name="Entrée" dataDxfId="76">
      <calculatedColumnFormula>SUM(H25:H27)</calculatedColumnFormula>
    </tableColumn>
    <tableColumn id="9" xr3:uid="{00000000-0010-0000-0500-000009000000}" name="Breakfast" dataDxfId="75">
      <calculatedColumnFormula>SUM(I25:I27)</calculatedColumnFormula>
    </tableColumn>
    <tableColumn id="10" xr3:uid="{00000000-0010-0000-0500-00000A000000}" name="Total" dataDxfId="74">
      <calculatedColumnFormula>SUM(Table5[[#This Row],[Salad ]:[Breakfast]])</calculatedColumnFormula>
    </tableColumn>
  </tableColumns>
  <tableStyleInfo name="TableStyleLight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6000000}" name="Table3" displayName="Table3" ref="A21:J25" totalsRowShown="0" headerRowDxfId="73" tableBorderDxfId="72">
  <tableColumns count="10">
    <tableColumn id="1" xr3:uid="{00000000-0010-0000-0600-000001000000}" name="Station" dataDxfId="71"/>
    <tableColumn id="2" xr3:uid="{00000000-0010-0000-0600-000002000000}" name="Salad " dataDxfId="70">
      <calculatedColumnFormula>SUM(B19:B21)</calculatedColumnFormula>
    </tableColumn>
    <tableColumn id="3" xr3:uid="{00000000-0010-0000-0600-000003000000}" name="Grill" dataDxfId="69">
      <calculatedColumnFormula>SUM(C19:C21)</calculatedColumnFormula>
    </tableColumn>
    <tableColumn id="4" xr3:uid="{00000000-0010-0000-0600-000004000000}" name="Exhilbition" dataDxfId="68">
      <calculatedColumnFormula>SUM(D19:D21)</calculatedColumnFormula>
    </tableColumn>
    <tableColumn id="5" xr3:uid="{00000000-0010-0000-0600-000005000000}" name="Chef Corner" dataDxfId="67">
      <calculatedColumnFormula>SUM(E19:E21)</calculatedColumnFormula>
    </tableColumn>
    <tableColumn id="6" xr3:uid="{00000000-0010-0000-0600-000006000000}" name="Pizza" dataDxfId="66">
      <calculatedColumnFormula>SUM(F19:F21)</calculatedColumnFormula>
    </tableColumn>
    <tableColumn id="7" xr3:uid="{00000000-0010-0000-0600-000007000000}" name="Deli" dataDxfId="65">
      <calculatedColumnFormula>SUM(G19:G21)</calculatedColumnFormula>
    </tableColumn>
    <tableColumn id="8" xr3:uid="{00000000-0010-0000-0600-000008000000}" name="Entrée" dataDxfId="64">
      <calculatedColumnFormula>SUM(H19:H21)</calculatedColumnFormula>
    </tableColumn>
    <tableColumn id="9" xr3:uid="{00000000-0010-0000-0600-000009000000}" name="Breakfast" dataDxfId="63">
      <calculatedColumnFormula>SUM(I19:I21)</calculatedColumnFormula>
    </tableColumn>
    <tableColumn id="10" xr3:uid="{00000000-0010-0000-0600-00000A000000}" name="Total" dataDxfId="62">
      <calculatedColumnFormula>SUM(Table3[[#This Row],[Salad ]:[Breakfast]])</calculatedColumnFormula>
    </tableColumn>
  </tableColumns>
  <tableStyleInfo name="TableStyleLight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7000000}" name="Table5" displayName="Table5" ref="A15:J19" totalsRowShown="0" headerRowDxfId="61" headerRowBorderDxfId="60">
  <tableColumns count="10">
    <tableColumn id="1" xr3:uid="{00000000-0010-0000-0700-000001000000}" name="Station" dataDxfId="59"/>
    <tableColumn id="2" xr3:uid="{00000000-0010-0000-0700-000002000000}" name="Salad " dataDxfId="58">
      <calculatedColumnFormula>SUM(B13:B15)</calculatedColumnFormula>
    </tableColumn>
    <tableColumn id="3" xr3:uid="{00000000-0010-0000-0700-000003000000}" name="Grill" dataDxfId="57">
      <calculatedColumnFormula>SUM(C13:C15)</calculatedColumnFormula>
    </tableColumn>
    <tableColumn id="4" xr3:uid="{00000000-0010-0000-0700-000004000000}" name="Exhilbition" dataDxfId="56">
      <calculatedColumnFormula>SUM(D13:D15)</calculatedColumnFormula>
    </tableColumn>
    <tableColumn id="5" xr3:uid="{00000000-0010-0000-0700-000005000000}" name="Chef Corner" dataDxfId="55">
      <calculatedColumnFormula>SUM(E13:E15)</calculatedColumnFormula>
    </tableColumn>
    <tableColumn id="6" xr3:uid="{00000000-0010-0000-0700-000006000000}" name="Pizza" dataDxfId="54">
      <calculatedColumnFormula>SUM(F13:F15)</calculatedColumnFormula>
    </tableColumn>
    <tableColumn id="7" xr3:uid="{00000000-0010-0000-0700-000007000000}" name="Deli" dataDxfId="53">
      <calculatedColumnFormula>SUM(G13:G15)</calculatedColumnFormula>
    </tableColumn>
    <tableColumn id="8" xr3:uid="{00000000-0010-0000-0700-000008000000}" name="Entrée" dataDxfId="52">
      <calculatedColumnFormula>SUM(H13:H15)</calculatedColumnFormula>
    </tableColumn>
    <tableColumn id="9" xr3:uid="{00000000-0010-0000-0700-000009000000}" name="Breakfast" dataDxfId="51">
      <calculatedColumnFormula>SUM(I13:I15)</calculatedColumnFormula>
    </tableColumn>
    <tableColumn id="10" xr3:uid="{00000000-0010-0000-0700-00000A000000}" name="Total" dataDxfId="50">
      <calculatedColumnFormula>SUM(Table5[[#This Row],[Salad ]:[Breakfast]])</calculatedColumnFormula>
    </tableColumn>
  </tableColumns>
  <tableStyleInfo name="TableStyleLight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8000000}" name="Table6" displayName="Table6" ref="A9:J13" totalsRowShown="0" headerRowDxfId="49" headerRowBorderDxfId="47" tableBorderDxfId="48">
  <tableColumns count="10">
    <tableColumn id="1" xr3:uid="{00000000-0010-0000-0800-000001000000}" name="Station"/>
    <tableColumn id="2" xr3:uid="{00000000-0010-0000-0800-000002000000}" name="Salad " dataDxfId="46">
      <calculatedColumnFormula>SUM(B7:B9)</calculatedColumnFormula>
    </tableColumn>
    <tableColumn id="3" xr3:uid="{00000000-0010-0000-0800-000003000000}" name="Grill" dataDxfId="45"/>
    <tableColumn id="4" xr3:uid="{00000000-0010-0000-0800-000004000000}" name="Exhilbition" dataDxfId="44"/>
    <tableColumn id="5" xr3:uid="{00000000-0010-0000-0800-000005000000}" name="Chef Corner" dataDxfId="43"/>
    <tableColumn id="6" xr3:uid="{00000000-0010-0000-0800-000006000000}" name="Pizza" dataDxfId="42"/>
    <tableColumn id="7" xr3:uid="{00000000-0010-0000-0800-000007000000}" name="Deli" dataDxfId="41"/>
    <tableColumn id="8" xr3:uid="{00000000-0010-0000-0800-000008000000}" name="Entrée" dataDxfId="40"/>
    <tableColumn id="9" xr3:uid="{00000000-0010-0000-0800-000009000000}" name="Breakfast"/>
    <tableColumn id="10" xr3:uid="{00000000-0010-0000-0800-00000A000000}" name="Total" dataDxfId="39">
      <calculatedColumnFormula>SUM(Table6[[#This Row],[Salad ]:[Breakfast]])</calculatedColumnFormula>
    </tableColumn>
  </tableColumns>
  <tableStyleInfo name="TableStyleLight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9000000}" name="Table7" displayName="Table7" ref="A3:J7" totalsRowShown="0" headerRowDxfId="38" headerRowBorderDxfId="36" tableBorderDxfId="37">
  <tableColumns count="10">
    <tableColumn id="1" xr3:uid="{00000000-0010-0000-0900-000001000000}" name="Station" dataDxfId="35"/>
    <tableColumn id="2" xr3:uid="{00000000-0010-0000-0900-000002000000}" name="Salad " dataDxfId="34">
      <calculatedColumnFormula>SUM(B1:B3)</calculatedColumnFormula>
    </tableColumn>
    <tableColumn id="3" xr3:uid="{00000000-0010-0000-0900-000003000000}" name="Grill" dataDxfId="33">
      <calculatedColumnFormula>SUM(C1:C3)</calculatedColumnFormula>
    </tableColumn>
    <tableColumn id="4" xr3:uid="{00000000-0010-0000-0900-000004000000}" name="Exhilbition" dataDxfId="32">
      <calculatedColumnFormula>SUM(D1:D3)</calculatedColumnFormula>
    </tableColumn>
    <tableColumn id="5" xr3:uid="{00000000-0010-0000-0900-000005000000}" name="Chef Corner" dataDxfId="31">
      <calculatedColumnFormula>SUM(E1:E3)</calculatedColumnFormula>
    </tableColumn>
    <tableColumn id="6" xr3:uid="{00000000-0010-0000-0900-000006000000}" name="Pizza" dataDxfId="30">
      <calculatedColumnFormula>SUM(F1:F3)</calculatedColumnFormula>
    </tableColumn>
    <tableColumn id="7" xr3:uid="{00000000-0010-0000-0900-000007000000}" name="Deli" dataDxfId="29">
      <calculatedColumnFormula>SUM(G1:G3)</calculatedColumnFormula>
    </tableColumn>
    <tableColumn id="8" xr3:uid="{00000000-0010-0000-0900-000008000000}" name="Entrée" dataDxfId="28">
      <calculatedColumnFormula>SUM(H1:H3)</calculatedColumnFormula>
    </tableColumn>
    <tableColumn id="9" xr3:uid="{00000000-0010-0000-0900-000009000000}" name="Breakfast" dataDxfId="27">
      <calculatedColumnFormula>SUM(I1:I3)</calculatedColumnFormula>
    </tableColumn>
    <tableColumn id="10" xr3:uid="{00000000-0010-0000-0900-00000A000000}" name="Total" dataDxfId="26">
      <calculatedColumnFormula>SUM(Table7[[#This Row],[Salad ]:[Breakfast]])</calculatedColumnFormula>
    </tableColumn>
  </tableColumns>
  <tableStyleInfo name="TableStyleLight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A000000}" name="Table213" displayName="Table213" ref="A33:J38" totalsRowShown="0" headerRowDxfId="25" tableBorderDxfId="24">
  <tableColumns count="10">
    <tableColumn id="1" xr3:uid="{00000000-0010-0000-0A00-000001000000}" name="Station"/>
    <tableColumn id="2" xr3:uid="{00000000-0010-0000-0A00-000002000000}" name="Salad " dataDxfId="23">
      <calculatedColumnFormula>SUM(B31:B33)</calculatedColumnFormula>
    </tableColumn>
    <tableColumn id="3" xr3:uid="{00000000-0010-0000-0A00-000003000000}" name="Grill" dataDxfId="22">
      <calculatedColumnFormula>SUM(C31:C33)</calculatedColumnFormula>
    </tableColumn>
    <tableColumn id="4" xr3:uid="{00000000-0010-0000-0A00-000004000000}" name="Exhilbition" dataDxfId="21">
      <calculatedColumnFormula>SUM(D31:D33)</calculatedColumnFormula>
    </tableColumn>
    <tableColumn id="5" xr3:uid="{00000000-0010-0000-0A00-000005000000}" name="Chef Corner" dataDxfId="20">
      <calculatedColumnFormula>SUM(E31:E33)</calculatedColumnFormula>
    </tableColumn>
    <tableColumn id="6" xr3:uid="{00000000-0010-0000-0A00-000006000000}" name="Pizza" dataDxfId="19">
      <calculatedColumnFormula>SUM(F31:F33)</calculatedColumnFormula>
    </tableColumn>
    <tableColumn id="7" xr3:uid="{00000000-0010-0000-0A00-000007000000}" name="Deli" dataDxfId="18">
      <calculatedColumnFormula>SUM(G31:G33)</calculatedColumnFormula>
    </tableColumn>
    <tableColumn id="8" xr3:uid="{00000000-0010-0000-0A00-000008000000}" name="Entrée" dataDxfId="17">
      <calculatedColumnFormula>SUM(H31:H33)</calculatedColumnFormula>
    </tableColumn>
    <tableColumn id="9" xr3:uid="{00000000-0010-0000-0A00-000009000000}" name="Breakfast" dataDxfId="16">
      <calculatedColumnFormula>SUM(I31:I33)</calculatedColumnFormula>
    </tableColumn>
    <tableColumn id="10" xr3:uid="{00000000-0010-0000-0A00-00000A000000}" name="Total" dataDxfId="15">
      <calculatedColumnFormula>SUM(Table5[[#This Row],[Salad ]:[Breakfast]])</calculatedColumnFormula>
    </tableColumn>
  </tableColumns>
  <tableStyleInfo name="TableStyleLight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B000000}" name="Table21315" displayName="Table21315" ref="A39:J43" totalsRowShown="0" headerRowDxfId="14" tableBorderDxfId="13">
  <tableColumns count="10">
    <tableColumn id="1" xr3:uid="{00000000-0010-0000-0B00-000001000000}" name="Station"/>
    <tableColumn id="2" xr3:uid="{00000000-0010-0000-0B00-000002000000}" name="Salad " dataDxfId="12">
      <calculatedColumnFormula>SUM(B37:B39)</calculatedColumnFormula>
    </tableColumn>
    <tableColumn id="3" xr3:uid="{00000000-0010-0000-0B00-000003000000}" name="Grill" dataDxfId="11">
      <calculatedColumnFormula>SUM(C37:C39)</calculatedColumnFormula>
    </tableColumn>
    <tableColumn id="4" xr3:uid="{00000000-0010-0000-0B00-000004000000}" name="Exhilbition" dataDxfId="10">
      <calculatedColumnFormula>SUM(D37:D39)</calculatedColumnFormula>
    </tableColumn>
    <tableColumn id="5" xr3:uid="{00000000-0010-0000-0B00-000005000000}" name="Chef Corner" dataDxfId="9">
      <calculatedColumnFormula>SUM(E37:E39)</calculatedColumnFormula>
    </tableColumn>
    <tableColumn id="6" xr3:uid="{00000000-0010-0000-0B00-000006000000}" name="Pizza" dataDxfId="8">
      <calculatedColumnFormula>SUM(F37:F39)</calculatedColumnFormula>
    </tableColumn>
    <tableColumn id="7" xr3:uid="{00000000-0010-0000-0B00-000007000000}" name="Deli" dataDxfId="7">
      <calculatedColumnFormula>SUM(G37:G39)</calculatedColumnFormula>
    </tableColumn>
    <tableColumn id="8" xr3:uid="{00000000-0010-0000-0B00-000008000000}" name="Entrée" dataDxfId="6">
      <calculatedColumnFormula>SUM(H37:H39)</calculatedColumnFormula>
    </tableColumn>
    <tableColumn id="9" xr3:uid="{00000000-0010-0000-0B00-000009000000}" name="Breakfast" dataDxfId="5">
      <calculatedColumnFormula>SUM(I37:I39)</calculatedColumnFormula>
    </tableColumn>
    <tableColumn id="10" xr3:uid="{00000000-0010-0000-0B00-00000A000000}" name="Total" dataDxfId="4">
      <calculatedColumnFormula>SUM(Table21315[[#This Row],[Salad ]:[Breakfast]])</calculatedColumnFormula>
    </tableColumn>
  </tableColumns>
  <tableStyleInfo name="TableStyleLight7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C000000}" name="Table8" displayName="Table8" ref="A1:B36" totalsRowShown="0" headerRowDxfId="3" tableBorderDxfId="2">
  <autoFilter ref="A1:B36" xr:uid="{00000000-0009-0000-0100-000008000000}">
    <filterColumn colId="0" hiddenButton="1"/>
    <filterColumn colId="1" hiddenButton="1"/>
  </autoFilter>
  <tableColumns count="2">
    <tableColumn id="1" xr3:uid="{00000000-0010-0000-0C00-000001000000}" name="Station Name:" dataDxfId="1"/>
    <tableColumn id="2" xr3:uid="{00000000-0010-0000-0C00-000002000000}" name=" 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2.xml"/><Relationship Id="rId3" Type="http://schemas.openxmlformats.org/officeDocument/2006/relationships/table" Target="../tables/table7.xml"/><Relationship Id="rId7" Type="http://schemas.openxmlformats.org/officeDocument/2006/relationships/table" Target="../tables/table11.xml"/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10.xml"/><Relationship Id="rId5" Type="http://schemas.openxmlformats.org/officeDocument/2006/relationships/table" Target="../tables/table9.xml"/><Relationship Id="rId4" Type="http://schemas.openxmlformats.org/officeDocument/2006/relationships/table" Target="../tables/table8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2"/>
  <sheetViews>
    <sheetView tabSelected="1" workbookViewId="0">
      <selection activeCell="P22" sqref="P22"/>
    </sheetView>
  </sheetViews>
  <sheetFormatPr defaultColWidth="9.140625" defaultRowHeight="15"/>
  <cols>
    <col min="1" max="1" width="35.5703125" style="1" bestFit="1" customWidth="1"/>
    <col min="2" max="9" width="15.7109375" customWidth="1"/>
  </cols>
  <sheetData>
    <row r="1" spans="1:10" ht="30" customHeight="1">
      <c r="A1" s="1" t="s">
        <v>0</v>
      </c>
    </row>
    <row r="2" spans="1:10">
      <c r="A2" s="8" t="s">
        <v>1</v>
      </c>
      <c r="B2" s="6"/>
      <c r="C2" s="6"/>
      <c r="D2" s="6"/>
      <c r="E2" s="6"/>
      <c r="F2" s="6"/>
      <c r="G2" s="6"/>
      <c r="H2" s="6"/>
      <c r="I2" s="2"/>
    </row>
    <row r="3" spans="1:10">
      <c r="A3" s="3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  <c r="I3" s="20" t="s">
        <v>10</v>
      </c>
      <c r="J3" s="5" t="s">
        <v>11</v>
      </c>
    </row>
    <row r="4" spans="1:10" ht="30" customHeight="1">
      <c r="A4" s="8" t="s">
        <v>12</v>
      </c>
      <c r="B4" s="9"/>
      <c r="C4" s="9"/>
      <c r="D4" s="9"/>
      <c r="E4" s="9"/>
      <c r="F4" s="9"/>
      <c r="G4" s="9"/>
      <c r="H4" s="9"/>
      <c r="I4" s="16"/>
      <c r="J4" s="17">
        <f>SUM(Table720[[#This Row],[Salad ]:[Breakfast]])</f>
        <v>0</v>
      </c>
    </row>
    <row r="5" spans="1:10" ht="30" customHeight="1">
      <c r="A5" s="8" t="s">
        <v>13</v>
      </c>
      <c r="B5" s="9"/>
      <c r="C5" s="9"/>
      <c r="D5" s="9"/>
      <c r="E5" s="9"/>
      <c r="F5" s="9"/>
      <c r="G5" s="9"/>
      <c r="H5" s="9"/>
      <c r="I5" s="16"/>
      <c r="J5" s="9">
        <f>SUM(Table720[[#This Row],[Salad ]:[Breakfast]])</f>
        <v>0</v>
      </c>
    </row>
    <row r="6" spans="1:10" ht="30" customHeight="1">
      <c r="A6" s="8" t="s">
        <v>14</v>
      </c>
      <c r="B6" s="9"/>
      <c r="C6" s="9"/>
      <c r="D6" s="9"/>
      <c r="E6" s="9"/>
      <c r="F6" s="9"/>
      <c r="G6" s="9"/>
      <c r="H6" s="9"/>
      <c r="I6" s="16"/>
      <c r="J6" s="9">
        <f>SUM(Table720[[#This Row],[Salad ]:[Breakfast]])</f>
        <v>0</v>
      </c>
    </row>
    <row r="7" spans="1:10" ht="30" customHeight="1" thickBot="1">
      <c r="A7" s="3" t="s">
        <v>11</v>
      </c>
      <c r="B7" s="18">
        <f>SUM(B4:B6)</f>
        <v>0</v>
      </c>
      <c r="C7" s="18">
        <f t="shared" ref="C7:I7" si="0">SUM(C4:C6)</f>
        <v>0</v>
      </c>
      <c r="D7" s="18">
        <f t="shared" si="0"/>
        <v>0</v>
      </c>
      <c r="E7" s="18">
        <f t="shared" si="0"/>
        <v>0</v>
      </c>
      <c r="F7" s="18">
        <f t="shared" si="0"/>
        <v>0</v>
      </c>
      <c r="G7" s="18">
        <f t="shared" si="0"/>
        <v>0</v>
      </c>
      <c r="H7" s="18">
        <f t="shared" si="0"/>
        <v>0</v>
      </c>
      <c r="I7" s="18">
        <f t="shared" si="0"/>
        <v>0</v>
      </c>
      <c r="J7" s="25">
        <f>SUM(Table720[[#This Row],[Salad ]:[Breakfast]])</f>
        <v>0</v>
      </c>
    </row>
    <row r="8" spans="1:10" ht="15.75" thickTop="1">
      <c r="A8" s="8" t="s">
        <v>15</v>
      </c>
      <c r="B8" s="6"/>
      <c r="C8" s="6"/>
      <c r="D8" s="6"/>
      <c r="E8" s="6"/>
      <c r="F8" s="6"/>
      <c r="G8" s="6"/>
      <c r="H8" s="6"/>
      <c r="I8" s="2"/>
    </row>
    <row r="9" spans="1:10">
      <c r="A9" s="3" t="s">
        <v>2</v>
      </c>
      <c r="B9" s="5" t="s">
        <v>3</v>
      </c>
      <c r="C9" s="5" t="s">
        <v>4</v>
      </c>
      <c r="D9" s="5" t="s">
        <v>5</v>
      </c>
      <c r="E9" s="5" t="s">
        <v>6</v>
      </c>
      <c r="F9" s="5" t="s">
        <v>7</v>
      </c>
      <c r="G9" s="5" t="s">
        <v>8</v>
      </c>
      <c r="H9" s="5" t="s">
        <v>9</v>
      </c>
      <c r="I9" s="20" t="s">
        <v>10</v>
      </c>
      <c r="J9" s="5" t="s">
        <v>11</v>
      </c>
    </row>
    <row r="10" spans="1:10" ht="30" customHeight="1">
      <c r="A10" s="7" t="s">
        <v>12</v>
      </c>
      <c r="B10" s="6"/>
      <c r="C10" s="6"/>
      <c r="D10" s="6"/>
      <c r="E10" s="6"/>
      <c r="F10" s="6"/>
      <c r="G10" s="6"/>
      <c r="H10" s="6"/>
      <c r="I10" s="6"/>
      <c r="J10" s="17">
        <f>SUM(Table619[[#This Row],[Salad ]:[Breakfast]])</f>
        <v>0</v>
      </c>
    </row>
    <row r="11" spans="1:10" ht="30" customHeight="1">
      <c r="A11" s="8" t="s">
        <v>13</v>
      </c>
      <c r="B11" s="9"/>
      <c r="C11" s="6"/>
      <c r="D11" s="6"/>
      <c r="E11" s="6"/>
      <c r="F11" s="6"/>
      <c r="G11" s="6"/>
      <c r="H11" s="6"/>
      <c r="I11" s="6"/>
      <c r="J11" s="9">
        <f>SUM(Table619[[#This Row],[Salad ]:[Breakfast]])</f>
        <v>0</v>
      </c>
    </row>
    <row r="12" spans="1:10" ht="30" customHeight="1">
      <c r="A12" s="8" t="s">
        <v>14</v>
      </c>
      <c r="B12" s="9"/>
      <c r="C12" s="6"/>
      <c r="D12" s="6"/>
      <c r="E12" s="6"/>
      <c r="F12" s="6"/>
      <c r="G12" s="6"/>
      <c r="H12" s="6"/>
      <c r="I12" s="6"/>
      <c r="J12" s="9">
        <f>SUM(Table619[[#This Row],[Salad ]:[Breakfast]])</f>
        <v>0</v>
      </c>
    </row>
    <row r="13" spans="1:10" ht="30" customHeight="1" thickBot="1">
      <c r="A13" s="3" t="s">
        <v>11</v>
      </c>
      <c r="B13" s="18">
        <f t="shared" ref="B13:I13" si="1">SUM(B10:B12)</f>
        <v>0</v>
      </c>
      <c r="C13" s="18">
        <f t="shared" si="1"/>
        <v>0</v>
      </c>
      <c r="D13" s="18">
        <f t="shared" si="1"/>
        <v>0</v>
      </c>
      <c r="E13" s="18">
        <f t="shared" si="1"/>
        <v>0</v>
      </c>
      <c r="F13" s="18">
        <f t="shared" si="1"/>
        <v>0</v>
      </c>
      <c r="G13" s="18">
        <f t="shared" si="1"/>
        <v>0</v>
      </c>
      <c r="H13" s="18">
        <f t="shared" si="1"/>
        <v>0</v>
      </c>
      <c r="I13" s="18">
        <f t="shared" si="1"/>
        <v>0</v>
      </c>
      <c r="J13" s="25">
        <f>SUM(Table619[[#This Row],[Salad ]:[Breakfast]])</f>
        <v>0</v>
      </c>
    </row>
    <row r="14" spans="1:10" ht="32.450000000000003" customHeight="1" thickTop="1">
      <c r="A14" s="8" t="s">
        <v>16</v>
      </c>
      <c r="B14" s="6"/>
      <c r="C14" s="6"/>
      <c r="D14" s="6"/>
      <c r="E14" s="6"/>
      <c r="F14" s="6"/>
      <c r="G14" s="6"/>
      <c r="H14" s="6"/>
      <c r="I14" s="2"/>
    </row>
    <row r="15" spans="1:10" ht="16.899999999999999" customHeight="1">
      <c r="A15" s="3" t="s">
        <v>2</v>
      </c>
      <c r="B15" s="5" t="s">
        <v>3</v>
      </c>
      <c r="C15" s="5" t="s">
        <v>4</v>
      </c>
      <c r="D15" s="5" t="s">
        <v>5</v>
      </c>
      <c r="E15" s="5" t="s">
        <v>6</v>
      </c>
      <c r="F15" s="5" t="s">
        <v>7</v>
      </c>
      <c r="G15" s="5" t="s">
        <v>8</v>
      </c>
      <c r="H15" s="5" t="s">
        <v>9</v>
      </c>
      <c r="I15" s="3" t="s">
        <v>10</v>
      </c>
      <c r="J15" s="5" t="s">
        <v>11</v>
      </c>
    </row>
    <row r="16" spans="1:10" ht="30" customHeight="1">
      <c r="A16" s="8" t="s">
        <v>12</v>
      </c>
      <c r="B16" s="9"/>
      <c r="C16" s="9"/>
      <c r="D16" s="9"/>
      <c r="E16" s="9"/>
      <c r="F16" s="9"/>
      <c r="G16" s="9"/>
      <c r="H16" s="9"/>
      <c r="I16" s="15"/>
      <c r="J16" s="17">
        <f>SUM(Table518[[#This Row],[Salad ]:[Breakfast]])</f>
        <v>0</v>
      </c>
    </row>
    <row r="17" spans="1:10" ht="30" customHeight="1">
      <c r="A17" s="8" t="s">
        <v>13</v>
      </c>
      <c r="B17" s="9"/>
      <c r="C17" s="9"/>
      <c r="D17" s="9"/>
      <c r="E17" s="9"/>
      <c r="F17" s="9"/>
      <c r="G17" s="9"/>
      <c r="H17" s="9"/>
      <c r="I17" s="15"/>
      <c r="J17" s="9">
        <f>SUM(Table518[[#This Row],[Salad ]:[Breakfast]])</f>
        <v>0</v>
      </c>
    </row>
    <row r="18" spans="1:10" ht="30" customHeight="1">
      <c r="A18" s="8" t="s">
        <v>14</v>
      </c>
      <c r="B18" s="9"/>
      <c r="C18" s="9"/>
      <c r="D18" s="9"/>
      <c r="E18" s="9"/>
      <c r="F18" s="9"/>
      <c r="G18" s="9"/>
      <c r="H18" s="9"/>
      <c r="I18" s="15"/>
      <c r="J18" s="9">
        <f>SUM(Table518[[#This Row],[Salad ]:[Breakfast]])</f>
        <v>0</v>
      </c>
    </row>
    <row r="19" spans="1:10" ht="30" customHeight="1" thickBot="1">
      <c r="A19" s="3" t="s">
        <v>11</v>
      </c>
      <c r="B19" s="18">
        <f t="shared" ref="B19" si="2">SUM(B16:B18)</f>
        <v>0</v>
      </c>
      <c r="C19" s="18">
        <f>SUM(C16:C18)</f>
        <v>0</v>
      </c>
      <c r="D19" s="18">
        <f t="shared" ref="D19:I19" si="3">SUM(D16:D18)</f>
        <v>0</v>
      </c>
      <c r="E19" s="18">
        <f t="shared" si="3"/>
        <v>0</v>
      </c>
      <c r="F19" s="18">
        <f t="shared" si="3"/>
        <v>0</v>
      </c>
      <c r="G19" s="18">
        <f t="shared" si="3"/>
        <v>0</v>
      </c>
      <c r="H19" s="18">
        <f t="shared" si="3"/>
        <v>0</v>
      </c>
      <c r="I19" s="18">
        <f t="shared" si="3"/>
        <v>0</v>
      </c>
      <c r="J19" s="25">
        <f>SUM(Table518[[#This Row],[Salad ]:[Breakfast]])</f>
        <v>0</v>
      </c>
    </row>
    <row r="20" spans="1:10" ht="37.15" customHeight="1" thickTop="1">
      <c r="A20" s="8" t="s">
        <v>17</v>
      </c>
      <c r="B20" s="6"/>
      <c r="C20" s="6"/>
      <c r="D20" s="6"/>
      <c r="E20" s="6"/>
      <c r="F20" s="6"/>
      <c r="G20" s="6"/>
      <c r="H20" s="6"/>
      <c r="I20" s="2"/>
    </row>
    <row r="21" spans="1:10" ht="27.6" customHeight="1">
      <c r="A21" s="4" t="s">
        <v>2</v>
      </c>
      <c r="B21" s="14" t="s">
        <v>3</v>
      </c>
      <c r="C21" s="14" t="s">
        <v>4</v>
      </c>
      <c r="D21" s="14" t="s">
        <v>5</v>
      </c>
      <c r="E21" s="14" t="s">
        <v>6</v>
      </c>
      <c r="F21" s="14" t="s">
        <v>7</v>
      </c>
      <c r="G21" s="14" t="s">
        <v>8</v>
      </c>
      <c r="H21" s="14" t="s">
        <v>9</v>
      </c>
      <c r="I21" s="1" t="s">
        <v>10</v>
      </c>
      <c r="J21" s="14" t="s">
        <v>11</v>
      </c>
    </row>
    <row r="22" spans="1:10" ht="30" customHeight="1">
      <c r="A22" s="8" t="s">
        <v>12</v>
      </c>
      <c r="B22" s="9"/>
      <c r="C22" s="9"/>
      <c r="D22" s="9"/>
      <c r="E22" s="9"/>
      <c r="F22" s="9"/>
      <c r="G22" s="9"/>
      <c r="H22" s="9"/>
      <c r="I22" s="16"/>
      <c r="J22" s="6">
        <f>SUM(Table317[[#This Row],[Salad ]:[Breakfast]])</f>
        <v>0</v>
      </c>
    </row>
    <row r="23" spans="1:10" ht="30" customHeight="1">
      <c r="A23" s="8" t="s">
        <v>13</v>
      </c>
      <c r="B23" s="9"/>
      <c r="C23" s="9"/>
      <c r="D23" s="9"/>
      <c r="E23" s="9"/>
      <c r="F23" s="9"/>
      <c r="G23" s="9"/>
      <c r="H23" s="9"/>
      <c r="I23" s="16"/>
      <c r="J23" s="6">
        <f>SUM(Table317[[#This Row],[Salad ]:[Breakfast]])</f>
        <v>0</v>
      </c>
    </row>
    <row r="24" spans="1:10" ht="30" customHeight="1">
      <c r="A24" s="8" t="s">
        <v>14</v>
      </c>
      <c r="B24" s="9"/>
      <c r="C24" s="9"/>
      <c r="D24" s="9"/>
      <c r="E24" s="9"/>
      <c r="F24" s="9"/>
      <c r="G24" s="9"/>
      <c r="H24" s="9"/>
      <c r="I24" s="16"/>
      <c r="J24" s="6">
        <f>SUM(Table317[[#This Row],[Salad ]:[Breakfast]])</f>
        <v>0</v>
      </c>
    </row>
    <row r="25" spans="1:10" ht="30" customHeight="1" thickBot="1">
      <c r="A25" s="3" t="s">
        <v>11</v>
      </c>
      <c r="B25" s="18">
        <f t="shared" ref="B25:I25" si="4">SUM(B22:B24)</f>
        <v>0</v>
      </c>
      <c r="C25" s="18">
        <f t="shared" si="4"/>
        <v>0</v>
      </c>
      <c r="D25" s="18">
        <f t="shared" si="4"/>
        <v>0</v>
      </c>
      <c r="E25" s="18">
        <f t="shared" si="4"/>
        <v>0</v>
      </c>
      <c r="F25" s="18">
        <f t="shared" si="4"/>
        <v>0</v>
      </c>
      <c r="G25" s="18">
        <f t="shared" si="4"/>
        <v>0</v>
      </c>
      <c r="H25" s="18">
        <f t="shared" si="4"/>
        <v>0</v>
      </c>
      <c r="I25" s="18">
        <f t="shared" si="4"/>
        <v>0</v>
      </c>
      <c r="J25" s="6">
        <f>SUM(Table317[[#This Row],[Salad ]:[Breakfast]])</f>
        <v>0</v>
      </c>
    </row>
    <row r="26" spans="1:10" ht="33" customHeight="1" thickTop="1">
      <c r="A26" s="8" t="s">
        <v>18</v>
      </c>
      <c r="B26" s="6"/>
      <c r="C26" s="6"/>
      <c r="D26" s="6"/>
      <c r="E26" s="6"/>
      <c r="F26" s="6"/>
      <c r="G26" s="6"/>
      <c r="H26" s="6"/>
      <c r="I26" s="2"/>
    </row>
    <row r="27" spans="1:10">
      <c r="A27" s="4" t="s">
        <v>2</v>
      </c>
      <c r="B27" s="14" t="s">
        <v>3</v>
      </c>
      <c r="C27" s="14" t="s">
        <v>4</v>
      </c>
      <c r="D27" s="14" t="s">
        <v>5</v>
      </c>
      <c r="E27" s="14" t="s">
        <v>6</v>
      </c>
      <c r="F27" s="14" t="s">
        <v>7</v>
      </c>
      <c r="G27" s="14" t="s">
        <v>8</v>
      </c>
      <c r="H27" s="14" t="s">
        <v>9</v>
      </c>
      <c r="I27" s="1" t="s">
        <v>10</v>
      </c>
      <c r="J27" s="14" t="s">
        <v>11</v>
      </c>
    </row>
    <row r="28" spans="1:10" ht="30" customHeight="1">
      <c r="A28" s="8" t="s">
        <v>12</v>
      </c>
      <c r="B28" s="9"/>
      <c r="C28" s="9"/>
      <c r="D28" s="9"/>
      <c r="E28" s="9"/>
      <c r="F28" s="9"/>
      <c r="G28" s="9"/>
      <c r="H28" s="9"/>
      <c r="I28" s="16"/>
      <c r="J28" s="17">
        <f>SUM(Table216[[#This Row],[Salad ]:[Breakfast]])</f>
        <v>0</v>
      </c>
    </row>
    <row r="29" spans="1:10" ht="30" customHeight="1">
      <c r="A29" s="8" t="s">
        <v>13</v>
      </c>
      <c r="B29" s="9"/>
      <c r="C29" s="9"/>
      <c r="D29" s="9"/>
      <c r="E29" s="9"/>
      <c r="F29" s="9"/>
      <c r="G29" s="9"/>
      <c r="H29" s="9"/>
      <c r="I29" s="16"/>
      <c r="J29" s="17">
        <f>SUM(Table216[[#This Row],[Salad ]:[Breakfast]])</f>
        <v>0</v>
      </c>
    </row>
    <row r="30" spans="1:10" ht="30" customHeight="1">
      <c r="A30" s="8" t="s">
        <v>14</v>
      </c>
      <c r="B30" s="9"/>
      <c r="C30" s="9"/>
      <c r="D30" s="9"/>
      <c r="E30" s="9"/>
      <c r="F30" s="9"/>
      <c r="G30" s="9"/>
      <c r="H30" s="9"/>
      <c r="I30" s="16"/>
      <c r="J30" s="17">
        <f>SUM(Table216[[#This Row],[Salad ]:[Breakfast]])</f>
        <v>0</v>
      </c>
    </row>
    <row r="31" spans="1:10" ht="30" customHeight="1" thickBot="1">
      <c r="A31" s="3" t="s">
        <v>11</v>
      </c>
      <c r="B31" s="18">
        <f t="shared" ref="B31:I31" si="5">SUM(B28:B30)</f>
        <v>0</v>
      </c>
      <c r="C31" s="18">
        <f t="shared" si="5"/>
        <v>0</v>
      </c>
      <c r="D31" s="18">
        <f t="shared" si="5"/>
        <v>0</v>
      </c>
      <c r="E31" s="18">
        <f t="shared" si="5"/>
        <v>0</v>
      </c>
      <c r="F31" s="18">
        <f t="shared" si="5"/>
        <v>0</v>
      </c>
      <c r="G31" s="18">
        <f t="shared" si="5"/>
        <v>0</v>
      </c>
      <c r="H31" s="18">
        <f t="shared" si="5"/>
        <v>0</v>
      </c>
      <c r="I31" s="18">
        <f t="shared" si="5"/>
        <v>0</v>
      </c>
      <c r="J31" s="17">
        <f>SUM(Table216[[#This Row],[Salad ]:[Breakfast]])</f>
        <v>0</v>
      </c>
    </row>
    <row r="32" spans="1:10" ht="30" customHeight="1" thickTop="1"/>
  </sheetData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J44"/>
  <sheetViews>
    <sheetView workbookViewId="0">
      <selection activeCell="B46" sqref="B46"/>
    </sheetView>
  </sheetViews>
  <sheetFormatPr defaultColWidth="9.140625" defaultRowHeight="30" customHeight="1"/>
  <cols>
    <col min="1" max="1" width="35.5703125" style="1" bestFit="1" customWidth="1"/>
    <col min="2" max="9" width="15.7109375" customWidth="1"/>
  </cols>
  <sheetData>
    <row r="1" spans="1:10" ht="30" customHeight="1">
      <c r="A1" s="1" t="s">
        <v>0</v>
      </c>
    </row>
    <row r="2" spans="1:10" ht="15">
      <c r="A2" s="8" t="s">
        <v>1</v>
      </c>
      <c r="B2" s="6"/>
      <c r="C2" s="6"/>
      <c r="D2" s="6"/>
      <c r="E2" s="6"/>
      <c r="F2" s="6"/>
      <c r="G2" s="6"/>
      <c r="H2" s="6"/>
      <c r="I2" s="2"/>
    </row>
    <row r="3" spans="1:10" ht="15">
      <c r="A3" s="3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  <c r="I3" s="20" t="s">
        <v>10</v>
      </c>
      <c r="J3" s="5" t="s">
        <v>11</v>
      </c>
    </row>
    <row r="4" spans="1:10" ht="30" customHeight="1">
      <c r="A4" s="8" t="s">
        <v>12</v>
      </c>
      <c r="B4" s="9"/>
      <c r="C4" s="9"/>
      <c r="D4" s="9"/>
      <c r="E4" s="9"/>
      <c r="F4" s="9"/>
      <c r="G4" s="9"/>
      <c r="H4" s="9"/>
      <c r="I4" s="16"/>
      <c r="J4" s="17">
        <f>SUM(Table7[[#This Row],[Salad ]:[Breakfast]])</f>
        <v>0</v>
      </c>
    </row>
    <row r="5" spans="1:10" ht="30" customHeight="1">
      <c r="A5" s="8" t="s">
        <v>13</v>
      </c>
      <c r="B5" s="9"/>
      <c r="C5" s="9"/>
      <c r="D5" s="9"/>
      <c r="E5" s="9"/>
      <c r="F5" s="9"/>
      <c r="G5" s="9"/>
      <c r="H5" s="9"/>
      <c r="I5" s="16"/>
      <c r="J5" s="9">
        <f>SUM(Table7[[#This Row],[Salad ]:[Breakfast]])</f>
        <v>0</v>
      </c>
    </row>
    <row r="6" spans="1:10" ht="30" customHeight="1">
      <c r="A6" s="8" t="s">
        <v>14</v>
      </c>
      <c r="B6" s="9"/>
      <c r="C6" s="9"/>
      <c r="D6" s="9"/>
      <c r="E6" s="9"/>
      <c r="F6" s="9"/>
      <c r="G6" s="9"/>
      <c r="H6" s="9"/>
      <c r="I6" s="16"/>
      <c r="J6" s="9">
        <f>SUM(Table7[[#This Row],[Salad ]:[Breakfast]])</f>
        <v>0</v>
      </c>
    </row>
    <row r="7" spans="1:10" ht="30" customHeight="1" thickBot="1">
      <c r="A7" s="3" t="s">
        <v>11</v>
      </c>
      <c r="B7" s="18">
        <f>SUM(B4:B6)</f>
        <v>0</v>
      </c>
      <c r="C7" s="18">
        <f t="shared" ref="C4:C7" si="0">SUM(C4:C6)</f>
        <v>0</v>
      </c>
      <c r="D7" s="18">
        <f t="shared" ref="D4:D7" si="1">SUM(D4:D6)</f>
        <v>0</v>
      </c>
      <c r="E7" s="18">
        <f t="shared" ref="E4:E7" si="2">SUM(E4:E6)</f>
        <v>0</v>
      </c>
      <c r="F7" s="18">
        <f t="shared" ref="F4:F7" si="3">SUM(F4:F6)</f>
        <v>0</v>
      </c>
      <c r="G7" s="18">
        <f t="shared" ref="G4:G7" si="4">SUM(G4:G6)</f>
        <v>0</v>
      </c>
      <c r="H7" s="18">
        <f t="shared" ref="H4:H7" si="5">SUM(H4:H6)</f>
        <v>0</v>
      </c>
      <c r="I7" s="18">
        <f t="shared" ref="I4:I7" si="6">SUM(I4:I6)</f>
        <v>0</v>
      </c>
      <c r="J7" s="25">
        <f>SUM(Table7[[#This Row],[Salad ]:[Breakfast]])</f>
        <v>0</v>
      </c>
    </row>
    <row r="8" spans="1:10" ht="15.75" thickTop="1">
      <c r="A8" s="8" t="s">
        <v>15</v>
      </c>
      <c r="B8" s="6"/>
      <c r="C8" s="6"/>
      <c r="D8" s="6"/>
      <c r="E8" s="6"/>
      <c r="F8" s="6"/>
      <c r="G8" s="6"/>
      <c r="H8" s="6"/>
      <c r="I8" s="2"/>
    </row>
    <row r="9" spans="1:10" ht="15">
      <c r="A9" s="3" t="s">
        <v>2</v>
      </c>
      <c r="B9" s="5" t="s">
        <v>3</v>
      </c>
      <c r="C9" s="5" t="s">
        <v>4</v>
      </c>
      <c r="D9" s="5" t="s">
        <v>5</v>
      </c>
      <c r="E9" s="5" t="s">
        <v>6</v>
      </c>
      <c r="F9" s="5" t="s">
        <v>7</v>
      </c>
      <c r="G9" s="5" t="s">
        <v>8</v>
      </c>
      <c r="H9" s="5" t="s">
        <v>9</v>
      </c>
      <c r="I9" s="20" t="s">
        <v>10</v>
      </c>
      <c r="J9" s="5" t="s">
        <v>11</v>
      </c>
    </row>
    <row r="10" spans="1:10" ht="30" customHeight="1">
      <c r="A10" s="7" t="s">
        <v>12</v>
      </c>
      <c r="B10" s="6"/>
      <c r="C10" s="6"/>
      <c r="D10" s="6"/>
      <c r="E10" s="6"/>
      <c r="F10" s="6"/>
      <c r="G10" s="6"/>
      <c r="H10" s="6"/>
      <c r="I10" s="6"/>
      <c r="J10" s="17">
        <f>SUM(Table6[[#This Row],[Salad ]:[Breakfast]])</f>
        <v>0</v>
      </c>
    </row>
    <row r="11" spans="1:10" ht="30" customHeight="1">
      <c r="A11" s="8" t="s">
        <v>13</v>
      </c>
      <c r="B11" s="9"/>
      <c r="C11" s="6"/>
      <c r="D11" s="6"/>
      <c r="E11" s="6"/>
      <c r="F11" s="6"/>
      <c r="G11" s="6"/>
      <c r="H11" s="6"/>
      <c r="I11" s="6"/>
      <c r="J11" s="9">
        <f>SUM(Table6[[#This Row],[Salad ]:[Breakfast]])</f>
        <v>0</v>
      </c>
    </row>
    <row r="12" spans="1:10" ht="30" customHeight="1">
      <c r="A12" s="8" t="s">
        <v>14</v>
      </c>
      <c r="B12" s="9"/>
      <c r="C12" s="6"/>
      <c r="D12" s="6"/>
      <c r="E12" s="6"/>
      <c r="F12" s="6"/>
      <c r="G12" s="6"/>
      <c r="H12" s="6"/>
      <c r="I12" s="6"/>
      <c r="J12" s="9">
        <f>SUM(Table6[[#This Row],[Salad ]:[Breakfast]])</f>
        <v>0</v>
      </c>
    </row>
    <row r="13" spans="1:10" ht="30" customHeight="1" thickBot="1">
      <c r="A13" s="3" t="s">
        <v>11</v>
      </c>
      <c r="B13" s="18">
        <f t="shared" ref="B10:B13" si="7">SUM(B10:B12)</f>
        <v>0</v>
      </c>
      <c r="C13" s="18">
        <f t="shared" ref="C13" si="8">SUM(C10:C12)</f>
        <v>0</v>
      </c>
      <c r="D13" s="18">
        <f t="shared" ref="D13" si="9">SUM(D10:D12)</f>
        <v>0</v>
      </c>
      <c r="E13" s="18">
        <f t="shared" ref="E13" si="10">SUM(E10:E12)</f>
        <v>0</v>
      </c>
      <c r="F13" s="18">
        <f t="shared" ref="F13" si="11">SUM(F10:F12)</f>
        <v>0</v>
      </c>
      <c r="G13" s="18">
        <f t="shared" ref="G13" si="12">SUM(G10:G12)</f>
        <v>0</v>
      </c>
      <c r="H13" s="18">
        <f t="shared" ref="H13" si="13">SUM(H10:H12)</f>
        <v>0</v>
      </c>
      <c r="I13" s="18">
        <f t="shared" ref="I13" si="14">SUM(I10:I12)</f>
        <v>0</v>
      </c>
      <c r="J13" s="25">
        <f>SUM(Table6[[#This Row],[Salad ]:[Breakfast]])</f>
        <v>0</v>
      </c>
    </row>
    <row r="14" spans="1:10" ht="32.450000000000003" customHeight="1" thickTop="1">
      <c r="A14" s="8" t="s">
        <v>16</v>
      </c>
      <c r="B14" s="6"/>
      <c r="C14" s="6"/>
      <c r="D14" s="6"/>
      <c r="E14" s="6"/>
      <c r="F14" s="6"/>
      <c r="G14" s="6"/>
      <c r="H14" s="6"/>
      <c r="I14" s="2"/>
    </row>
    <row r="15" spans="1:10" ht="16.899999999999999" customHeight="1">
      <c r="A15" s="3" t="s">
        <v>2</v>
      </c>
      <c r="B15" s="5" t="s">
        <v>3</v>
      </c>
      <c r="C15" s="5" t="s">
        <v>4</v>
      </c>
      <c r="D15" s="5" t="s">
        <v>5</v>
      </c>
      <c r="E15" s="5" t="s">
        <v>6</v>
      </c>
      <c r="F15" s="5" t="s">
        <v>7</v>
      </c>
      <c r="G15" s="5" t="s">
        <v>8</v>
      </c>
      <c r="H15" s="5" t="s">
        <v>9</v>
      </c>
      <c r="I15" s="3" t="s">
        <v>10</v>
      </c>
      <c r="J15" s="5" t="s">
        <v>11</v>
      </c>
    </row>
    <row r="16" spans="1:10" ht="30" customHeight="1">
      <c r="A16" s="8" t="s">
        <v>12</v>
      </c>
      <c r="B16" s="9"/>
      <c r="C16" s="9"/>
      <c r="D16" s="9"/>
      <c r="E16" s="9"/>
      <c r="F16" s="9"/>
      <c r="G16" s="9"/>
      <c r="H16" s="9"/>
      <c r="I16" s="15"/>
      <c r="J16" s="17">
        <f>SUM(Table5[[#This Row],[Salad ]:[Breakfast]])</f>
        <v>0</v>
      </c>
    </row>
    <row r="17" spans="1:10" ht="30" customHeight="1">
      <c r="A17" s="8" t="s">
        <v>13</v>
      </c>
      <c r="B17" s="9"/>
      <c r="C17" s="9"/>
      <c r="D17" s="9"/>
      <c r="E17" s="9"/>
      <c r="F17" s="9"/>
      <c r="G17" s="9"/>
      <c r="H17" s="9"/>
      <c r="I17" s="15"/>
      <c r="J17" s="9">
        <f>SUM(Table5[[#This Row],[Salad ]:[Breakfast]])</f>
        <v>0</v>
      </c>
    </row>
    <row r="18" spans="1:10" ht="30" customHeight="1">
      <c r="A18" s="8" t="s">
        <v>14</v>
      </c>
      <c r="B18" s="9"/>
      <c r="C18" s="9"/>
      <c r="D18" s="9"/>
      <c r="E18" s="9"/>
      <c r="F18" s="9"/>
      <c r="G18" s="9"/>
      <c r="H18" s="9"/>
      <c r="I18" s="15"/>
      <c r="J18" s="9">
        <f>SUM(Table5[[#This Row],[Salad ]:[Breakfast]])</f>
        <v>0</v>
      </c>
    </row>
    <row r="19" spans="1:10" ht="30" customHeight="1" thickBot="1">
      <c r="A19" s="3" t="s">
        <v>11</v>
      </c>
      <c r="B19" s="18">
        <f t="shared" ref="B16:B19" si="15">SUM(B16:B18)</f>
        <v>0</v>
      </c>
      <c r="C19" s="18">
        <f>SUM(C16:C18)</f>
        <v>0</v>
      </c>
      <c r="D19" s="18">
        <f t="shared" ref="D16:D19" si="16">SUM(D16:D18)</f>
        <v>0</v>
      </c>
      <c r="E19" s="18">
        <f t="shared" ref="E16:E19" si="17">SUM(E16:E18)</f>
        <v>0</v>
      </c>
      <c r="F19" s="18">
        <f t="shared" ref="F16:F19" si="18">SUM(F16:F18)</f>
        <v>0</v>
      </c>
      <c r="G19" s="18">
        <f t="shared" ref="G16:G19" si="19">SUM(G16:G18)</f>
        <v>0</v>
      </c>
      <c r="H19" s="18">
        <f t="shared" ref="H16:H19" si="20">SUM(H16:H18)</f>
        <v>0</v>
      </c>
      <c r="I19" s="18">
        <f t="shared" ref="I16:I19" si="21">SUM(I16:I18)</f>
        <v>0</v>
      </c>
      <c r="J19" s="25">
        <f>SUM(Table5[[#This Row],[Salad ]:[Breakfast]])</f>
        <v>0</v>
      </c>
    </row>
    <row r="20" spans="1:10" ht="37.15" customHeight="1" thickTop="1">
      <c r="A20" s="8" t="s">
        <v>17</v>
      </c>
      <c r="B20" s="6"/>
      <c r="C20" s="6"/>
      <c r="D20" s="6"/>
      <c r="E20" s="6"/>
      <c r="F20" s="6"/>
      <c r="G20" s="6"/>
      <c r="H20" s="6"/>
      <c r="I20" s="2"/>
    </row>
    <row r="21" spans="1:10" ht="27.6" customHeight="1">
      <c r="A21" s="4" t="s">
        <v>2</v>
      </c>
      <c r="B21" s="14" t="s">
        <v>3</v>
      </c>
      <c r="C21" s="14" t="s">
        <v>4</v>
      </c>
      <c r="D21" s="14" t="s">
        <v>5</v>
      </c>
      <c r="E21" s="14" t="s">
        <v>6</v>
      </c>
      <c r="F21" s="14" t="s">
        <v>7</v>
      </c>
      <c r="G21" s="14" t="s">
        <v>8</v>
      </c>
      <c r="H21" s="14" t="s">
        <v>9</v>
      </c>
      <c r="I21" s="1" t="s">
        <v>10</v>
      </c>
      <c r="J21" s="14" t="s">
        <v>11</v>
      </c>
    </row>
    <row r="22" spans="1:10" ht="30" customHeight="1">
      <c r="A22" s="8" t="s">
        <v>12</v>
      </c>
      <c r="B22" s="9"/>
      <c r="C22" s="9"/>
      <c r="D22" s="9"/>
      <c r="E22" s="9"/>
      <c r="F22" s="9"/>
      <c r="G22" s="9"/>
      <c r="H22" s="9"/>
      <c r="I22" s="16"/>
      <c r="J22" s="6">
        <f>SUM(Table3[[#This Row],[Salad ]:[Breakfast]])</f>
        <v>0</v>
      </c>
    </row>
    <row r="23" spans="1:10" ht="30" customHeight="1">
      <c r="A23" s="8" t="s">
        <v>13</v>
      </c>
      <c r="B23" s="9"/>
      <c r="C23" s="9"/>
      <c r="D23" s="9"/>
      <c r="E23" s="9"/>
      <c r="F23" s="9"/>
      <c r="G23" s="9"/>
      <c r="H23" s="9"/>
      <c r="I23" s="16"/>
      <c r="J23" s="6">
        <f>SUM(Table3[[#This Row],[Salad ]:[Breakfast]])</f>
        <v>0</v>
      </c>
    </row>
    <row r="24" spans="1:10" ht="30" customHeight="1">
      <c r="A24" s="8" t="s">
        <v>14</v>
      </c>
      <c r="B24" s="9"/>
      <c r="C24" s="9"/>
      <c r="D24" s="9"/>
      <c r="E24" s="9"/>
      <c r="F24" s="9"/>
      <c r="G24" s="9"/>
      <c r="H24" s="9"/>
      <c r="I24" s="16"/>
      <c r="J24" s="6">
        <f>SUM(Table3[[#This Row],[Salad ]:[Breakfast]])</f>
        <v>0</v>
      </c>
    </row>
    <row r="25" spans="1:10" ht="30" customHeight="1" thickBot="1">
      <c r="A25" s="3" t="s">
        <v>11</v>
      </c>
      <c r="B25" s="18">
        <f t="shared" ref="B22:B25" si="22">SUM(B22:B24)</f>
        <v>0</v>
      </c>
      <c r="C25" s="18">
        <f t="shared" ref="C22:C25" si="23">SUM(C22:C24)</f>
        <v>0</v>
      </c>
      <c r="D25" s="18">
        <f t="shared" ref="D22:D25" si="24">SUM(D22:D24)</f>
        <v>0</v>
      </c>
      <c r="E25" s="18">
        <f t="shared" ref="E22:E25" si="25">SUM(E22:E24)</f>
        <v>0</v>
      </c>
      <c r="F25" s="18">
        <f t="shared" ref="F22:F25" si="26">SUM(F22:F24)</f>
        <v>0</v>
      </c>
      <c r="G25" s="18">
        <f t="shared" ref="G22:G25" si="27">SUM(G22:G24)</f>
        <v>0</v>
      </c>
      <c r="H25" s="18">
        <f t="shared" ref="H22:H25" si="28">SUM(H22:H24)</f>
        <v>0</v>
      </c>
      <c r="I25" s="18">
        <f t="shared" ref="I22:I25" si="29">SUM(I22:I24)</f>
        <v>0</v>
      </c>
      <c r="J25" s="6">
        <f>SUM(Table3[[#This Row],[Salad ]:[Breakfast]])</f>
        <v>0</v>
      </c>
    </row>
    <row r="26" spans="1:10" ht="33" customHeight="1" thickTop="1">
      <c r="A26" s="8" t="s">
        <v>18</v>
      </c>
      <c r="B26" s="6"/>
      <c r="C26" s="6"/>
      <c r="D26" s="6"/>
      <c r="E26" s="6"/>
      <c r="F26" s="6"/>
      <c r="G26" s="6"/>
      <c r="H26" s="6"/>
      <c r="I26" s="2"/>
    </row>
    <row r="27" spans="1:10" ht="15">
      <c r="A27" s="4" t="s">
        <v>2</v>
      </c>
      <c r="B27" s="14" t="s">
        <v>3</v>
      </c>
      <c r="C27" s="14" t="s">
        <v>4</v>
      </c>
      <c r="D27" s="14" t="s">
        <v>5</v>
      </c>
      <c r="E27" s="14" t="s">
        <v>6</v>
      </c>
      <c r="F27" s="14" t="s">
        <v>7</v>
      </c>
      <c r="G27" s="14" t="s">
        <v>8</v>
      </c>
      <c r="H27" s="14" t="s">
        <v>9</v>
      </c>
      <c r="I27" s="1" t="s">
        <v>10</v>
      </c>
      <c r="J27" s="14" t="s">
        <v>11</v>
      </c>
    </row>
    <row r="28" spans="1:10" ht="30" customHeight="1">
      <c r="A28" s="8" t="s">
        <v>12</v>
      </c>
      <c r="B28" s="9"/>
      <c r="C28" s="9"/>
      <c r="D28" s="9"/>
      <c r="E28" s="9"/>
      <c r="F28" s="9"/>
      <c r="G28" s="9"/>
      <c r="H28" s="9"/>
      <c r="I28" s="16"/>
      <c r="J28" s="17">
        <f>SUM(Table2[[#This Row],[Salad ]:[Breakfast]])</f>
        <v>0</v>
      </c>
    </row>
    <row r="29" spans="1:10" ht="30" customHeight="1">
      <c r="A29" s="8" t="s">
        <v>13</v>
      </c>
      <c r="B29" s="9"/>
      <c r="C29" s="9"/>
      <c r="D29" s="9"/>
      <c r="E29" s="9"/>
      <c r="F29" s="9"/>
      <c r="G29" s="9"/>
      <c r="H29" s="9"/>
      <c r="I29" s="16"/>
      <c r="J29" s="17">
        <f>SUM(Table2[[#This Row],[Salad ]:[Breakfast]])</f>
        <v>0</v>
      </c>
    </row>
    <row r="30" spans="1:10" ht="30" customHeight="1">
      <c r="A30" s="8" t="s">
        <v>14</v>
      </c>
      <c r="B30" s="9"/>
      <c r="C30" s="9"/>
      <c r="D30" s="9"/>
      <c r="E30" s="9"/>
      <c r="F30" s="9"/>
      <c r="G30" s="9"/>
      <c r="H30" s="9"/>
      <c r="I30" s="16"/>
      <c r="J30" s="17">
        <f>SUM(Table2[[#This Row],[Salad ]:[Breakfast]])</f>
        <v>0</v>
      </c>
    </row>
    <row r="31" spans="1:10" ht="30" customHeight="1" thickBot="1">
      <c r="A31" s="3" t="s">
        <v>11</v>
      </c>
      <c r="B31" s="18">
        <f t="shared" ref="B28:B32" si="30">SUM(B28:B30)</f>
        <v>0</v>
      </c>
      <c r="C31" s="18">
        <f t="shared" ref="C28:C32" si="31">SUM(C28:C30)</f>
        <v>0</v>
      </c>
      <c r="D31" s="18">
        <f t="shared" ref="D28:D32" si="32">SUM(D28:D30)</f>
        <v>0</v>
      </c>
      <c r="E31" s="18">
        <f t="shared" ref="E28:E32" si="33">SUM(E28:E30)</f>
        <v>0</v>
      </c>
      <c r="F31" s="18">
        <f t="shared" ref="F28:F32" si="34">SUM(F28:F30)</f>
        <v>0</v>
      </c>
      <c r="G31" s="18">
        <f t="shared" ref="G28:G32" si="35">SUM(G28:G30)</f>
        <v>0</v>
      </c>
      <c r="H31" s="18">
        <f t="shared" ref="H28:H32" si="36">SUM(H28:H30)</f>
        <v>0</v>
      </c>
      <c r="I31" s="18">
        <f t="shared" ref="I28:I32" si="37">SUM(I28:I30)</f>
        <v>0</v>
      </c>
      <c r="J31" s="17">
        <f>SUM(Table2[[#This Row],[Salad ]:[Breakfast]])</f>
        <v>0</v>
      </c>
    </row>
    <row r="32" spans="1:10" s="22" customFormat="1" ht="30" customHeight="1" thickTop="1">
      <c r="A32" s="22" t="s">
        <v>19</v>
      </c>
      <c r="J32" s="23"/>
    </row>
    <row r="33" spans="1:10" ht="30" customHeight="1">
      <c r="A33" s="4" t="s">
        <v>2</v>
      </c>
      <c r="B33" s="14" t="s">
        <v>3</v>
      </c>
      <c r="C33" s="14" t="s">
        <v>4</v>
      </c>
      <c r="D33" s="14" t="s">
        <v>5</v>
      </c>
      <c r="E33" s="14" t="s">
        <v>6</v>
      </c>
      <c r="F33" s="14" t="s">
        <v>7</v>
      </c>
      <c r="G33" s="14" t="s">
        <v>8</v>
      </c>
      <c r="H33" s="14" t="s">
        <v>9</v>
      </c>
      <c r="I33" s="1" t="s">
        <v>10</v>
      </c>
      <c r="J33" s="14" t="s">
        <v>11</v>
      </c>
    </row>
    <row r="34" spans="1:10" ht="30" customHeight="1">
      <c r="A34" s="8" t="s">
        <v>12</v>
      </c>
      <c r="B34" s="9"/>
      <c r="C34" s="9"/>
      <c r="D34" s="9"/>
      <c r="E34" s="9"/>
      <c r="F34" s="9"/>
      <c r="G34" s="9"/>
      <c r="H34" s="9"/>
      <c r="I34" s="16"/>
      <c r="J34" s="17">
        <f>SUM(Table213[[#This Row],[Salad ]:[Breakfast]])</f>
        <v>0</v>
      </c>
    </row>
    <row r="35" spans="1:10" ht="30" customHeight="1">
      <c r="A35" s="8" t="s">
        <v>13</v>
      </c>
      <c r="B35" s="9"/>
      <c r="C35" s="9"/>
      <c r="D35" s="9"/>
      <c r="E35" s="9"/>
      <c r="F35" s="9"/>
      <c r="G35" s="9"/>
      <c r="H35" s="9"/>
      <c r="I35" s="16"/>
      <c r="J35" s="17">
        <f>SUM(Table213[[#This Row],[Salad ]:[Breakfast]])</f>
        <v>0</v>
      </c>
    </row>
    <row r="36" spans="1:10" ht="30" customHeight="1">
      <c r="A36" s="8" t="s">
        <v>14</v>
      </c>
      <c r="B36" s="9"/>
      <c r="C36" s="9"/>
      <c r="D36" s="9"/>
      <c r="E36" s="9"/>
      <c r="F36" s="9"/>
      <c r="G36" s="9"/>
      <c r="H36" s="9"/>
      <c r="I36" s="16"/>
      <c r="J36" s="17">
        <f>SUM(Table213[[#This Row],[Salad ]:[Breakfast]])</f>
        <v>0</v>
      </c>
    </row>
    <row r="37" spans="1:10" ht="30" customHeight="1" thickBot="1">
      <c r="A37" s="3" t="s">
        <v>11</v>
      </c>
      <c r="B37" s="18">
        <f t="shared" ref="B34:B38" si="38">SUM(B34:B36)</f>
        <v>0</v>
      </c>
      <c r="C37" s="18">
        <f t="shared" ref="C34:C38" si="39">SUM(C34:C36)</f>
        <v>0</v>
      </c>
      <c r="D37" s="18">
        <f t="shared" ref="D34:D38" si="40">SUM(D34:D36)</f>
        <v>0</v>
      </c>
      <c r="E37" s="18">
        <f t="shared" ref="E34:E38" si="41">SUM(E34:E36)</f>
        <v>0</v>
      </c>
      <c r="F37" s="18">
        <f t="shared" ref="F34:F38" si="42">SUM(F34:F36)</f>
        <v>0</v>
      </c>
      <c r="G37" s="18">
        <f t="shared" ref="G34:G38" si="43">SUM(G34:G36)</f>
        <v>0</v>
      </c>
      <c r="H37" s="18">
        <f t="shared" ref="H34:H38" si="44">SUM(H34:H36)</f>
        <v>0</v>
      </c>
      <c r="I37" s="18">
        <f t="shared" ref="I34:I38" si="45">SUM(I34:I36)</f>
        <v>0</v>
      </c>
      <c r="J37" s="17">
        <f>SUM(Table213[[#This Row],[Salad ]:[Breakfast]])</f>
        <v>0</v>
      </c>
    </row>
    <row r="38" spans="1:10" s="22" customFormat="1" ht="30" customHeight="1" thickTop="1">
      <c r="A38" s="22" t="s">
        <v>20</v>
      </c>
      <c r="B38" s="23"/>
      <c r="C38" s="23"/>
      <c r="D38" s="23"/>
      <c r="E38" s="23"/>
      <c r="F38" s="23"/>
      <c r="G38" s="23"/>
      <c r="H38" s="23"/>
      <c r="I38" s="24"/>
      <c r="J38" s="23"/>
    </row>
    <row r="39" spans="1:10" ht="30" customHeight="1">
      <c r="A39" s="4" t="s">
        <v>2</v>
      </c>
      <c r="B39" s="14" t="s">
        <v>3</v>
      </c>
      <c r="C39" s="14" t="s">
        <v>4</v>
      </c>
      <c r="D39" s="14" t="s">
        <v>5</v>
      </c>
      <c r="E39" s="14" t="s">
        <v>6</v>
      </c>
      <c r="F39" s="14" t="s">
        <v>7</v>
      </c>
      <c r="G39" s="14" t="s">
        <v>8</v>
      </c>
      <c r="H39" s="14" t="s">
        <v>9</v>
      </c>
      <c r="I39" s="1" t="s">
        <v>10</v>
      </c>
      <c r="J39" s="14" t="s">
        <v>11</v>
      </c>
    </row>
    <row r="40" spans="1:10" ht="30" customHeight="1">
      <c r="A40" s="8" t="s">
        <v>12</v>
      </c>
      <c r="B40" s="9"/>
      <c r="C40" s="9"/>
      <c r="D40" s="9"/>
      <c r="E40" s="9"/>
      <c r="F40" s="9"/>
      <c r="G40" s="9"/>
      <c r="H40" s="9"/>
      <c r="I40" s="16"/>
      <c r="J40" s="17">
        <f>SUM(Table21315[[#This Row],[Salad ]:[Breakfast]])</f>
        <v>0</v>
      </c>
    </row>
    <row r="41" spans="1:10" ht="30" customHeight="1">
      <c r="A41" s="8" t="s">
        <v>13</v>
      </c>
      <c r="B41" s="9"/>
      <c r="C41" s="9"/>
      <c r="D41" s="9"/>
      <c r="E41" s="9"/>
      <c r="F41" s="9"/>
      <c r="G41" s="9"/>
      <c r="H41" s="9"/>
      <c r="I41" s="16"/>
      <c r="J41" s="9">
        <f>SUM(Table21315[[#This Row],[Salad ]:[Breakfast]])</f>
        <v>0</v>
      </c>
    </row>
    <row r="42" spans="1:10" ht="30" customHeight="1">
      <c r="A42" s="8" t="s">
        <v>14</v>
      </c>
      <c r="B42" s="9"/>
      <c r="C42" s="9"/>
      <c r="D42" s="9"/>
      <c r="E42" s="9"/>
      <c r="F42" s="9"/>
      <c r="G42" s="9"/>
      <c r="H42" s="9"/>
      <c r="I42" s="16"/>
      <c r="J42" s="9">
        <f>SUM(Table21315[[#This Row],[Salad ]:[Breakfast]])</f>
        <v>0</v>
      </c>
    </row>
    <row r="43" spans="1:10" ht="30" customHeight="1" thickBot="1">
      <c r="A43" s="3" t="s">
        <v>11</v>
      </c>
      <c r="B43" s="18">
        <f t="shared" ref="B40:B43" si="46">SUM(B40:B42)</f>
        <v>0</v>
      </c>
      <c r="C43" s="18">
        <f t="shared" ref="C40:C43" si="47">SUM(C40:C42)</f>
        <v>0</v>
      </c>
      <c r="D43" s="18">
        <f t="shared" ref="D40:D43" si="48">SUM(D40:D42)</f>
        <v>0</v>
      </c>
      <c r="E43" s="18">
        <f t="shared" ref="E40:E43" si="49">SUM(E40:E42)</f>
        <v>0</v>
      </c>
      <c r="F43" s="18">
        <f t="shared" ref="F40:F43" si="50">SUM(F40:F42)</f>
        <v>0</v>
      </c>
      <c r="G43" s="18">
        <f t="shared" ref="G40:G43" si="51">SUM(G40:G42)</f>
        <v>0</v>
      </c>
      <c r="H43" s="18">
        <f t="shared" ref="H40:H43" si="52">SUM(H40:H42)</f>
        <v>0</v>
      </c>
      <c r="I43" s="18">
        <f t="shared" ref="I40:I43" si="53">SUM(I40:I42)</f>
        <v>0</v>
      </c>
      <c r="J43" s="25">
        <f>SUM(Table21315[[#This Row],[Salad ]:[Breakfast]])</f>
        <v>0</v>
      </c>
    </row>
    <row r="44" spans="1:10" ht="30" customHeight="1" thickTop="1"/>
  </sheetData>
  <pageMargins left="0.7" right="0.7" top="0.75" bottom="0.75" header="0.3" footer="0.3"/>
  <pageSetup scale="62" pageOrder="overThenDown" orientation="landscape" r:id="rId1"/>
  <tableParts count="7">
    <tablePart r:id="rId2"/>
    <tablePart r:id="rId3"/>
    <tablePart r:id="rId4"/>
    <tablePart r:id="rId5"/>
    <tablePart r:id="rId6"/>
    <tablePart r:id="rId7"/>
    <tablePart r:id="rId8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36"/>
  <sheetViews>
    <sheetView topLeftCell="A19" workbookViewId="0">
      <selection activeCell="C6" sqref="C6"/>
    </sheetView>
  </sheetViews>
  <sheetFormatPr defaultRowHeight="34.9" customHeight="1"/>
  <cols>
    <col min="1" max="1" width="28.28515625" bestFit="1" customWidth="1"/>
    <col min="2" max="2" width="31.7109375" style="2" customWidth="1"/>
  </cols>
  <sheetData>
    <row r="1" spans="1:2" ht="18.75">
      <c r="A1" s="21" t="s">
        <v>21</v>
      </c>
      <c r="B1" s="6" t="s">
        <v>22</v>
      </c>
    </row>
    <row r="2" spans="1:2" ht="15">
      <c r="A2" s="8" t="s">
        <v>1</v>
      </c>
      <c r="B2" s="9"/>
    </row>
    <row r="3" spans="1:2" ht="34.9" customHeight="1">
      <c r="A3" s="2" t="s">
        <v>12</v>
      </c>
      <c r="B3" s="6"/>
    </row>
    <row r="4" spans="1:2" ht="34.9" customHeight="1">
      <c r="A4" s="2" t="s">
        <v>13</v>
      </c>
      <c r="B4" s="6"/>
    </row>
    <row r="5" spans="1:2" ht="34.9" customHeight="1">
      <c r="A5" s="2" t="s">
        <v>14</v>
      </c>
      <c r="B5" s="6"/>
    </row>
    <row r="6" spans="1:2" ht="34.9" customHeight="1" thickBot="1">
      <c r="A6" s="19" t="s">
        <v>11</v>
      </c>
      <c r="B6" s="18"/>
    </row>
    <row r="7" spans="1:2" ht="15.75" thickTop="1">
      <c r="A7" s="3" t="s">
        <v>15</v>
      </c>
      <c r="B7" s="17"/>
    </row>
    <row r="8" spans="1:2" ht="34.9" customHeight="1">
      <c r="A8" s="2" t="s">
        <v>12</v>
      </c>
      <c r="B8" s="6"/>
    </row>
    <row r="9" spans="1:2" ht="34.9" customHeight="1">
      <c r="A9" s="2" t="s">
        <v>13</v>
      </c>
      <c r="B9" s="6"/>
    </row>
    <row r="10" spans="1:2" ht="34.9" customHeight="1">
      <c r="A10" s="2" t="s">
        <v>14</v>
      </c>
      <c r="B10" s="6"/>
    </row>
    <row r="11" spans="1:2" ht="34.9" customHeight="1" thickBot="1">
      <c r="A11" s="19" t="s">
        <v>11</v>
      </c>
      <c r="B11" s="18"/>
    </row>
    <row r="12" spans="1:2" ht="15.75" thickTop="1">
      <c r="A12" s="3" t="s">
        <v>16</v>
      </c>
      <c r="B12" s="17"/>
    </row>
    <row r="13" spans="1:2" ht="34.9" customHeight="1">
      <c r="A13" s="2" t="s">
        <v>12</v>
      </c>
      <c r="B13" s="6"/>
    </row>
    <row r="14" spans="1:2" ht="34.9" customHeight="1">
      <c r="A14" s="2" t="s">
        <v>13</v>
      </c>
      <c r="B14" s="6"/>
    </row>
    <row r="15" spans="1:2" ht="34.9" customHeight="1">
      <c r="A15" s="2" t="s">
        <v>14</v>
      </c>
      <c r="B15" s="6"/>
    </row>
    <row r="16" spans="1:2" ht="34.9" customHeight="1" thickBot="1">
      <c r="A16" s="19" t="s">
        <v>11</v>
      </c>
      <c r="B16" s="18"/>
    </row>
    <row r="17" spans="1:2" ht="15.75" thickTop="1">
      <c r="A17" s="3" t="s">
        <v>17</v>
      </c>
      <c r="B17" s="3"/>
    </row>
    <row r="18" spans="1:2" ht="34.9" customHeight="1">
      <c r="A18" s="2" t="s">
        <v>12</v>
      </c>
    </row>
    <row r="19" spans="1:2" ht="34.9" customHeight="1">
      <c r="A19" s="2" t="s">
        <v>13</v>
      </c>
    </row>
    <row r="20" spans="1:2" ht="34.9" customHeight="1">
      <c r="A20" s="2" t="s">
        <v>14</v>
      </c>
    </row>
    <row r="21" spans="1:2" ht="34.9" customHeight="1" thickBot="1">
      <c r="A21" s="19" t="s">
        <v>11</v>
      </c>
      <c r="B21" s="19"/>
    </row>
    <row r="22" spans="1:2" ht="32.450000000000003" customHeight="1" thickTop="1">
      <c r="A22" s="3" t="s">
        <v>18</v>
      </c>
      <c r="B22" s="3"/>
    </row>
    <row r="23" spans="1:2" ht="34.9" customHeight="1">
      <c r="A23" s="2" t="s">
        <v>12</v>
      </c>
    </row>
    <row r="24" spans="1:2" ht="34.9" customHeight="1">
      <c r="A24" s="2" t="s">
        <v>13</v>
      </c>
    </row>
    <row r="25" spans="1:2" ht="34.9" customHeight="1">
      <c r="A25" s="2" t="s">
        <v>14</v>
      </c>
    </row>
    <row r="26" spans="1:2" ht="34.9" customHeight="1" thickBot="1">
      <c r="A26" s="19" t="s">
        <v>11</v>
      </c>
      <c r="B26" s="19"/>
    </row>
    <row r="27" spans="1:2" ht="34.9" customHeight="1" thickTop="1">
      <c r="A27" s="7" t="s">
        <v>19</v>
      </c>
      <c r="B27" s="7"/>
    </row>
    <row r="28" spans="1:2" ht="34.9" customHeight="1">
      <c r="A28" s="2" t="s">
        <v>12</v>
      </c>
    </row>
    <row r="29" spans="1:2" ht="34.9" customHeight="1">
      <c r="A29" s="2" t="s">
        <v>13</v>
      </c>
    </row>
    <row r="30" spans="1:2" ht="34.9" customHeight="1">
      <c r="A30" s="2" t="s">
        <v>14</v>
      </c>
    </row>
    <row r="31" spans="1:2" ht="34.9" customHeight="1" thickBot="1">
      <c r="A31" s="19" t="s">
        <v>11</v>
      </c>
      <c r="B31" s="19"/>
    </row>
    <row r="32" spans="1:2" ht="34.9" customHeight="1" thickTop="1">
      <c r="A32" s="7" t="s">
        <v>20</v>
      </c>
      <c r="B32" s="7"/>
    </row>
    <row r="33" spans="1:2" ht="34.9" customHeight="1">
      <c r="A33" s="2" t="s">
        <v>12</v>
      </c>
    </row>
    <row r="34" spans="1:2" ht="34.9" customHeight="1">
      <c r="A34" s="2" t="s">
        <v>13</v>
      </c>
    </row>
    <row r="35" spans="1:2" ht="34.9" customHeight="1">
      <c r="A35" s="2" t="s">
        <v>14</v>
      </c>
    </row>
    <row r="36" spans="1:2" ht="34.9" customHeight="1">
      <c r="A36" s="7" t="s">
        <v>11</v>
      </c>
      <c r="B36" s="7"/>
    </row>
  </sheetData>
  <pageMargins left="0.7" right="0.7" top="0.75" bottom="0.75" header="0.3" footer="0.3"/>
  <pageSetup scale="83" fitToWidth="0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"/>
  <sheetViews>
    <sheetView workbookViewId="0">
      <selection activeCell="C3" sqref="C3"/>
    </sheetView>
  </sheetViews>
  <sheetFormatPr defaultRowHeight="15"/>
  <cols>
    <col min="1" max="1" width="20.85546875" bestFit="1" customWidth="1"/>
    <col min="2" max="8" width="15.42578125" customWidth="1"/>
  </cols>
  <sheetData>
    <row r="1" spans="1:8" s="13" customFormat="1">
      <c r="A1" s="11"/>
      <c r="B1" s="12" t="s">
        <v>1</v>
      </c>
      <c r="C1" s="12" t="s">
        <v>15</v>
      </c>
      <c r="D1" s="12" t="s">
        <v>16</v>
      </c>
      <c r="E1" s="12" t="s">
        <v>17</v>
      </c>
      <c r="F1" s="12" t="s">
        <v>18</v>
      </c>
      <c r="G1" s="12" t="s">
        <v>19</v>
      </c>
      <c r="H1" s="12" t="s">
        <v>20</v>
      </c>
    </row>
    <row r="2" spans="1:8" ht="40.9" customHeight="1">
      <c r="A2" s="10" t="s">
        <v>23</v>
      </c>
      <c r="B2" s="9"/>
      <c r="C2" s="9"/>
      <c r="D2" s="9"/>
      <c r="E2" s="9"/>
      <c r="F2" s="9"/>
      <c r="G2" s="9"/>
      <c r="H2" s="9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7"/>
  <sheetViews>
    <sheetView workbookViewId="0">
      <selection activeCell="A4" sqref="A4"/>
    </sheetView>
  </sheetViews>
  <sheetFormatPr defaultRowHeight="15"/>
  <cols>
    <col min="1" max="1" width="22.140625" bestFit="1" customWidth="1"/>
    <col min="2" max="6" width="11.5703125" customWidth="1"/>
  </cols>
  <sheetData>
    <row r="1" spans="1:6">
      <c r="B1" t="s">
        <v>24</v>
      </c>
    </row>
    <row r="2" spans="1:6">
      <c r="B2" s="1" t="s">
        <v>1</v>
      </c>
      <c r="C2" s="1" t="s">
        <v>15</v>
      </c>
      <c r="D2" s="1" t="s">
        <v>16</v>
      </c>
      <c r="E2" s="1" t="s">
        <v>17</v>
      </c>
      <c r="F2" s="1" t="s">
        <v>18</v>
      </c>
    </row>
    <row r="3" spans="1:6" ht="39.6" customHeight="1">
      <c r="A3" t="s">
        <v>25</v>
      </c>
    </row>
    <row r="4" spans="1:6" ht="39.6" customHeight="1">
      <c r="A4" t="s">
        <v>26</v>
      </c>
    </row>
    <row r="5" spans="1:6" ht="39.6" customHeight="1">
      <c r="A5" t="s">
        <v>27</v>
      </c>
    </row>
    <row r="6" spans="1:6">
      <c r="B6" s="1" t="s">
        <v>1</v>
      </c>
      <c r="C6" s="1" t="s">
        <v>15</v>
      </c>
      <c r="D6" s="1" t="s">
        <v>16</v>
      </c>
      <c r="E6" s="1" t="s">
        <v>17</v>
      </c>
      <c r="F6" s="1" t="s">
        <v>18</v>
      </c>
    </row>
    <row r="7" spans="1:6" ht="39.6" customHeight="1">
      <c r="A7" t="s">
        <v>25</v>
      </c>
    </row>
    <row r="8" spans="1:6" ht="39.6" customHeight="1">
      <c r="A8" t="s">
        <v>26</v>
      </c>
    </row>
    <row r="9" spans="1:6" ht="39.6" customHeight="1">
      <c r="A9" t="s">
        <v>27</v>
      </c>
    </row>
    <row r="10" spans="1:6">
      <c r="B10" s="1" t="s">
        <v>1</v>
      </c>
      <c r="C10" s="1" t="s">
        <v>15</v>
      </c>
      <c r="D10" s="1" t="s">
        <v>16</v>
      </c>
      <c r="E10" s="1" t="s">
        <v>17</v>
      </c>
      <c r="F10" s="1" t="s">
        <v>18</v>
      </c>
    </row>
    <row r="11" spans="1:6" ht="39.6" customHeight="1">
      <c r="A11" t="s">
        <v>25</v>
      </c>
    </row>
    <row r="12" spans="1:6" ht="39.6" customHeight="1">
      <c r="A12" t="s">
        <v>26</v>
      </c>
    </row>
    <row r="13" spans="1:6" ht="39.6" customHeight="1">
      <c r="A13" t="s">
        <v>27</v>
      </c>
    </row>
    <row r="14" spans="1:6">
      <c r="B14" s="1" t="s">
        <v>1</v>
      </c>
      <c r="C14" s="1" t="s">
        <v>15</v>
      </c>
      <c r="D14" s="1" t="s">
        <v>16</v>
      </c>
      <c r="E14" s="1" t="s">
        <v>17</v>
      </c>
      <c r="F14" s="1" t="s">
        <v>18</v>
      </c>
    </row>
    <row r="15" spans="1:6" ht="39.6" customHeight="1">
      <c r="A15" t="s">
        <v>25</v>
      </c>
    </row>
    <row r="16" spans="1:6" ht="39.6" customHeight="1">
      <c r="A16" t="s">
        <v>26</v>
      </c>
    </row>
    <row r="17" spans="1:1" ht="39.6" customHeight="1">
      <c r="A17" t="s">
        <v>27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1"/>
  <sheetViews>
    <sheetView workbookViewId="0">
      <selection activeCell="A3" sqref="A3"/>
    </sheetView>
  </sheetViews>
  <sheetFormatPr defaultRowHeight="15"/>
  <cols>
    <col min="1" max="1" width="26.5703125" bestFit="1" customWidth="1"/>
    <col min="2" max="6" width="11.5703125" customWidth="1"/>
  </cols>
  <sheetData>
    <row r="1" spans="1:6">
      <c r="B1" t="s">
        <v>24</v>
      </c>
    </row>
    <row r="2" spans="1:6">
      <c r="B2" s="1" t="s">
        <v>1</v>
      </c>
      <c r="C2" s="1" t="s">
        <v>15</v>
      </c>
      <c r="D2" s="1" t="s">
        <v>16</v>
      </c>
      <c r="E2" s="1" t="s">
        <v>17</v>
      </c>
      <c r="F2" s="1" t="s">
        <v>18</v>
      </c>
    </row>
    <row r="3" spans="1:6" ht="36" customHeight="1">
      <c r="A3" t="s">
        <v>27</v>
      </c>
      <c r="B3" s="1"/>
      <c r="C3" s="1"/>
      <c r="D3" s="1"/>
      <c r="E3" s="1"/>
      <c r="F3" s="1"/>
    </row>
    <row r="4" spans="1:6" ht="36" customHeight="1">
      <c r="A4" t="s">
        <v>28</v>
      </c>
    </row>
    <row r="5" spans="1:6" ht="36" customHeight="1">
      <c r="A5" t="s">
        <v>29</v>
      </c>
    </row>
    <row r="6" spans="1:6" ht="36" customHeight="1">
      <c r="A6" t="s">
        <v>30</v>
      </c>
    </row>
    <row r="7" spans="1:6">
      <c r="B7" s="1" t="s">
        <v>1</v>
      </c>
      <c r="C7" s="1" t="s">
        <v>15</v>
      </c>
      <c r="D7" s="1" t="s">
        <v>16</v>
      </c>
      <c r="E7" s="1" t="s">
        <v>17</v>
      </c>
      <c r="F7" s="1" t="s">
        <v>18</v>
      </c>
    </row>
    <row r="8" spans="1:6" ht="36" customHeight="1">
      <c r="A8" t="s">
        <v>27</v>
      </c>
      <c r="B8" s="1"/>
      <c r="C8" s="1"/>
      <c r="D8" s="1"/>
      <c r="E8" s="1"/>
      <c r="F8" s="1"/>
    </row>
    <row r="9" spans="1:6" ht="36" customHeight="1">
      <c r="A9" t="s">
        <v>28</v>
      </c>
    </row>
    <row r="10" spans="1:6" ht="36" customHeight="1">
      <c r="A10" t="s">
        <v>29</v>
      </c>
    </row>
    <row r="11" spans="1:6" ht="36" customHeight="1">
      <c r="A11" t="s">
        <v>30</v>
      </c>
    </row>
    <row r="12" spans="1:6">
      <c r="B12" s="1" t="s">
        <v>1</v>
      </c>
      <c r="C12" s="1" t="s">
        <v>15</v>
      </c>
      <c r="D12" s="1" t="s">
        <v>16</v>
      </c>
      <c r="E12" s="1" t="s">
        <v>17</v>
      </c>
      <c r="F12" s="1" t="s">
        <v>18</v>
      </c>
    </row>
    <row r="13" spans="1:6" ht="36" customHeight="1">
      <c r="A13" t="s">
        <v>27</v>
      </c>
      <c r="B13" s="1"/>
      <c r="C13" s="1"/>
      <c r="D13" s="1"/>
      <c r="E13" s="1"/>
      <c r="F13" s="1"/>
    </row>
    <row r="14" spans="1:6" ht="36" customHeight="1">
      <c r="A14" t="s">
        <v>28</v>
      </c>
    </row>
    <row r="15" spans="1:6" ht="36" customHeight="1">
      <c r="A15" t="s">
        <v>29</v>
      </c>
    </row>
    <row r="16" spans="1:6" ht="36" customHeight="1">
      <c r="A16" t="s">
        <v>30</v>
      </c>
    </row>
    <row r="17" spans="1:6">
      <c r="B17" s="1" t="s">
        <v>1</v>
      </c>
      <c r="C17" s="1" t="s">
        <v>15</v>
      </c>
      <c r="D17" s="1" t="s">
        <v>16</v>
      </c>
      <c r="E17" s="1" t="s">
        <v>17</v>
      </c>
      <c r="F17" s="1" t="s">
        <v>18</v>
      </c>
    </row>
    <row r="18" spans="1:6" ht="36" customHeight="1">
      <c r="A18" t="s">
        <v>27</v>
      </c>
      <c r="B18" s="1"/>
      <c r="C18" s="1"/>
      <c r="D18" s="1"/>
      <c r="E18" s="1"/>
      <c r="F18" s="1"/>
    </row>
    <row r="19" spans="1:6" ht="36" customHeight="1">
      <c r="A19" t="s">
        <v>28</v>
      </c>
    </row>
    <row r="20" spans="1:6" ht="36" customHeight="1">
      <c r="A20" t="s">
        <v>29</v>
      </c>
    </row>
    <row r="21" spans="1:6" ht="36" customHeight="1">
      <c r="A21" t="s">
        <v>30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0ce68d2-f4a4-4963-9a31-30d16dda62a3">
      <Value>73</Value>
      <Value>30</Value>
      <Value>29</Value>
      <Value>28</Value>
      <Value>27</Value>
      <Value>26</Value>
      <Value>25</Value>
      <Value>24</Value>
      <Value>23</Value>
      <Value>22</Value>
      <Value>21</Value>
      <Value>20</Value>
      <Value>19</Value>
      <Value>18</Value>
      <Value>17</Value>
      <Value>16</Value>
      <Value>15</Value>
      <Value>14</Value>
      <Value>13</Value>
      <Value>12</Value>
      <Value>84</Value>
      <Value>298</Value>
    </TaxCatchAll>
    <e1b65cae4c8e4083a2711408af7fe198 xmlns="16756c2e-6cd5-4ec7-b18d-635fa13e878a">
      <Terms xmlns="http://schemas.microsoft.com/office/infopath/2007/PartnerControls">
        <TermInfo xmlns="http://schemas.microsoft.com/office/infopath/2007/PartnerControls">
          <TermName xmlns="http://schemas.microsoft.com/office/infopath/2007/PartnerControls">Sustainability</TermName>
          <TermId xmlns="http://schemas.microsoft.com/office/infopath/2007/PartnerControls">c9092def-aec6-4c42-a70f-a86bcd4486d6</TermId>
        </TermInfo>
      </Terms>
    </e1b65cae4c8e4083a2711408af7fe198>
    <OwlPromoteItem xmlns="16756c2e-6cd5-4ec7-b18d-635fa13e878a">false</OwlPromoteItem>
    <aae8b8b2f6b6446f8eaf6528f2afa3ed xmlns="16756c2e-6cd5-4ec7-b18d-635fa13e878a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Envision Group</TermName>
          <TermId xmlns="http://schemas.microsoft.com/office/infopath/2007/PartnerControls">352582ae-5018-4646-80c1-0a0afae99c7b</TermId>
        </TermInfo>
      </Terms>
    </aae8b8b2f6b6446f8eaf6528f2afa3ed>
    <d5535452cea2437ba4abacdf7ef3a2ec xmlns="16756c2e-6cd5-4ec7-b18d-635fa13e878a">
      <Terms xmlns="http://schemas.microsoft.com/office/infopath/2007/PartnerControls"/>
    </d5535452cea2437ba4abacdf7ef3a2ec>
    <o2299b84a56844f0b3e22843a55b07f2 xmlns="16756c2e-6cd5-4ec7-b18d-635fa13e878a">
      <Terms xmlns="http://schemas.microsoft.com/office/infopath/2007/PartnerControls">
        <TermInfo xmlns="http://schemas.microsoft.com/office/infopath/2007/PartnerControls">
          <TermName xmlns="http://schemas.microsoft.com/office/infopath/2007/PartnerControls">Bon Appetit</TermName>
          <TermId xmlns="http://schemas.microsoft.com/office/infopath/2007/PartnerControls">607fe1f1-fb1b-4f37-b8d1-4d6395c9d315</TermId>
        </TermInfo>
        <TermInfo xmlns="http://schemas.microsoft.com/office/infopath/2007/PartnerControls">
          <TermName xmlns="http://schemas.microsoft.com/office/infopath/2007/PartnerControls">Canteen</TermName>
          <TermId xmlns="http://schemas.microsoft.com/office/infopath/2007/PartnerControls">d01254fd-e0b5-4c4e-b660-ddcde211a41e</TermId>
        </TermInfo>
        <TermInfo xmlns="http://schemas.microsoft.com/office/infopath/2007/PartnerControls">
          <TermName xmlns="http://schemas.microsoft.com/office/infopath/2007/PartnerControls">Chartwells Higher Ed</TermName>
          <TermId xmlns="http://schemas.microsoft.com/office/infopath/2007/PartnerControls">aa0aedf5-2621-4928-b0e9-b9555c84e38b</TermId>
        </TermInfo>
        <TermInfo xmlns="http://schemas.microsoft.com/office/infopath/2007/PartnerControls">
          <TermName xmlns="http://schemas.microsoft.com/office/infopath/2007/PartnerControls">Chartwells K12</TermName>
          <TermId xmlns="http://schemas.microsoft.com/office/infopath/2007/PartnerControls">ef7bcc4d-a189-4865-90e0-fe70531a0a47</TermId>
        </TermInfo>
        <TermInfo xmlns="http://schemas.microsoft.com/office/infopath/2007/PartnerControls">
          <TermName xmlns="http://schemas.microsoft.com/office/infopath/2007/PartnerControls">Corporate and Foodbuy</TermName>
          <TermId xmlns="http://schemas.microsoft.com/office/infopath/2007/PartnerControls">71bac368-42c4-4223-9917-b4d495c79f1e</TermId>
        </TermInfo>
        <TermInfo xmlns="http://schemas.microsoft.com/office/infopath/2007/PartnerControls">
          <TermName xmlns="http://schemas.microsoft.com/office/infopath/2007/PartnerControls">Crothall Healthcare</TermName>
          <TermId xmlns="http://schemas.microsoft.com/office/infopath/2007/PartnerControls">546e0a3f-8236-4e8e-b561-5e4a7d70910c</TermId>
        </TermInfo>
        <TermInfo xmlns="http://schemas.microsoft.com/office/infopath/2007/PartnerControls">
          <TermName xmlns="http://schemas.microsoft.com/office/infopath/2007/PartnerControls">CulinArt</TermName>
          <TermId xmlns="http://schemas.microsoft.com/office/infopath/2007/PartnerControls">24f3eb7d-a28f-4402-b364-b4a43a446b2b</TermId>
        </TermInfo>
        <TermInfo xmlns="http://schemas.microsoft.com/office/infopath/2007/PartnerControls">
          <TermName xmlns="http://schemas.microsoft.com/office/infopath/2007/PartnerControls">Eurest</TermName>
          <TermId xmlns="http://schemas.microsoft.com/office/infopath/2007/PartnerControls">70fe04b1-3b4b-4f02-9146-c9b5efd9d559</TermId>
        </TermInfo>
        <TermInfo xmlns="http://schemas.microsoft.com/office/infopath/2007/PartnerControls">
          <TermName xmlns="http://schemas.microsoft.com/office/infopath/2007/PartnerControls">ESFM</TermName>
          <TermId xmlns="http://schemas.microsoft.com/office/infopath/2007/PartnerControls">79c56ac8-236e-4f48-9688-7c34afde359d</TermId>
        </TermInfo>
        <TermInfo xmlns="http://schemas.microsoft.com/office/infopath/2007/PartnerControls">
          <TermName xmlns="http://schemas.microsoft.com/office/infopath/2007/PartnerControls">Flik</TermName>
          <TermId xmlns="http://schemas.microsoft.com/office/infopath/2007/PartnerControls">a8a77723-bcf0-4ea3-9592-738f69ee82e2</TermId>
        </TermInfo>
        <TermInfo xmlns="http://schemas.microsoft.com/office/infopath/2007/PartnerControls">
          <TermName xmlns="http://schemas.microsoft.com/office/infopath/2007/PartnerControls">Flik ISD</TermName>
          <TermId xmlns="http://schemas.microsoft.com/office/infopath/2007/PartnerControls">db5c75f7-70b0-4ee8-8e86-af2ca5993b59</TermId>
        </TermInfo>
        <TermInfo xmlns="http://schemas.microsoft.com/office/infopath/2007/PartnerControls">
          <TermName xmlns="http://schemas.microsoft.com/office/infopath/2007/PartnerControls">Levy</TermName>
          <TermId xmlns="http://schemas.microsoft.com/office/infopath/2007/PartnerControls">b50391ad-6c41-4f72-ab11-2064718c1a0d</TermId>
        </TermInfo>
        <TermInfo xmlns="http://schemas.microsoft.com/office/infopath/2007/PartnerControls">
          <TermName xmlns="http://schemas.microsoft.com/office/infopath/2007/PartnerControls">Morrison Living</TermName>
          <TermId xmlns="http://schemas.microsoft.com/office/infopath/2007/PartnerControls">508f5511-2d49-4469-bfc1-7b4b67133b5c</TermId>
        </TermInfo>
        <TermInfo xmlns="http://schemas.microsoft.com/office/infopath/2007/PartnerControls">
          <TermName xmlns="http://schemas.microsoft.com/office/infopath/2007/PartnerControls">Morrison Healthcare</TermName>
          <TermId xmlns="http://schemas.microsoft.com/office/infopath/2007/PartnerControls">0c2dbd74-0ae7-47e9-8895-fb7dd3a36608</TermId>
        </TermInfo>
        <TermInfo xmlns="http://schemas.microsoft.com/office/infopath/2007/PartnerControls">
          <TermName xmlns="http://schemas.microsoft.com/office/infopath/2007/PartnerControls">Restaurant Associates</TermName>
          <TermId xmlns="http://schemas.microsoft.com/office/infopath/2007/PartnerControls">5e5baa1a-41bd-45c5-b760-c035be11d967</TermId>
        </TermInfo>
        <TermInfo xmlns="http://schemas.microsoft.com/office/infopath/2007/PartnerControls">
          <TermName xmlns="http://schemas.microsoft.com/office/infopath/2007/PartnerControls">SSC</TermName>
          <TermId xmlns="http://schemas.microsoft.com/office/infopath/2007/PartnerControls">a770fa4a-5fb6-4018-b29c-093e5778251d</TermId>
        </TermInfo>
        <TermInfo xmlns="http://schemas.microsoft.com/office/infopath/2007/PartnerControls">
          <TermName xmlns="http://schemas.microsoft.com/office/infopath/2007/PartnerControls">Touchpoint</TermName>
          <TermId xmlns="http://schemas.microsoft.com/office/infopath/2007/PartnerControls">e51276f7-7f50-4b23-a298-3fe1f2f17f48</TermId>
        </TermInfo>
        <TermInfo xmlns="http://schemas.microsoft.com/office/infopath/2007/PartnerControls">
          <TermName xmlns="http://schemas.microsoft.com/office/infopath/2007/PartnerControls">Unidine</TermName>
          <TermId xmlns="http://schemas.microsoft.com/office/infopath/2007/PartnerControls">f900c8ca-f41f-4bd4-9b0c-36f27423c583</TermId>
        </TermInfo>
        <TermInfo xmlns="http://schemas.microsoft.com/office/infopath/2007/PartnerControls">
          <TermName xmlns="http://schemas.microsoft.com/office/infopath/2007/PartnerControls">Wolfgang Puck Catering</TermName>
          <TermId xmlns="http://schemas.microsoft.com/office/infopath/2007/PartnerControls">cce7e79b-d3b6-40c0-816e-9112d5db53b7</TermId>
        </TermInfo>
      </Terms>
    </o2299b84a56844f0b3e22843a55b07f2>
    <mdce353e6bde4523ba5bc5cf0ed14dac xmlns="16756c2e-6cd5-4ec7-b18d-635fa13e878a">
      <Terms xmlns="http://schemas.microsoft.com/office/infopath/2007/PartnerControls"/>
    </mdce353e6bde4523ba5bc5cf0ed14dac>
    <a307835481e145e599055a0cc7665129 xmlns="16756c2e-6cd5-4ec7-b18d-635fa13e878a">
      <Terms xmlns="http://schemas.microsoft.com/office/infopath/2007/PartnerControls"/>
    </a307835481e145e599055a0cc7665129>
    <p2c84d4dd03943d3b2a2ecb3b17223e4 xmlns="16756c2e-6cd5-4ec7-b18d-635fa13e878a">
      <Terms xmlns="http://schemas.microsoft.com/office/infopath/2007/PartnerControls"/>
    </p2c84d4dd03943d3b2a2ecb3b17223e4>
    <OwlReviewExpiryDate xmlns="16756c2e-6cd5-4ec7-b18d-635fa13e878a" xsi:nil="true"/>
    <p9daea888ee24cb08c24be5868cfbc9e xmlns="16756c2e-6cd5-4ec7-b18d-635fa13e878a">
      <Terms xmlns="http://schemas.microsoft.com/office/infopath/2007/PartnerControls"/>
    </p9daea888ee24cb08c24be5868cfbc9e>
    <OwlDocPortalDescription xmlns="16756c2e-6cd5-4ec7-b18d-635fa13e878a">Waste Not Tracker spreadsheet</OwlDocPortalDescription>
    <OwlMarketingTab xmlns="16756c2e-6cd5-4ec7-b18d-635fa13e878a">Resources</OwlMarketingTab>
    <a29574d6f06442c6a236a2b32fdc5688 xmlns="16756c2e-6cd5-4ec7-b18d-635fa13e878a">
      <Terms xmlns="http://schemas.microsoft.com/office/infopath/2007/PartnerControls">
        <TermInfo xmlns="http://schemas.microsoft.com/office/infopath/2007/PartnerControls">
          <TermName xmlns="http://schemas.microsoft.com/office/infopath/2007/PartnerControls">Waste Not</TermName>
          <TermId xmlns="http://schemas.microsoft.com/office/infopath/2007/PartnerControls">de06c811-dabd-4a8f-888a-0ca2d6a40782</TermId>
        </TermInfo>
      </Terms>
    </a29574d6f06442c6a236a2b32fdc5688>
    <ed318bbe71da46d9880178f213ecefc3 xmlns="16756c2e-6cd5-4ec7-b18d-635fa13e878a">
      <Terms xmlns="http://schemas.microsoft.com/office/infopath/2007/PartnerControls"/>
    </ed318bbe71da46d9880178f213ecefc3>
    <OwlDocumentGroup xmlns="16756c2e-6cd5-4ec7-b18d-635fa13e878a" xsi:nil="true"/>
    <OwlDisplayPage xmlns="16756c2e-6cd5-4ec7-b18d-635fa13e878a" xsi:nil="true"/>
    <OwlPromotionVersion xmlns="16756c2e-6cd5-4ec7-b18d-635fa13e878a" xsi:nil="true"/>
    <q31w xmlns="07292b78-37ad-4bcc-ab98-73a1a618de71" xsi:nil="true"/>
    <lcf76f155ced4ddcb4097134ff3c332f xmlns="07292b78-37ad-4bcc-ab98-73a1a618de71">
      <Terms xmlns="http://schemas.microsoft.com/office/infopath/2007/PartnerControls"/>
    </lcf76f155ced4ddcb4097134ff3c332f>
    <TaxCatchAllLabel xmlns="c0ce68d2-f4a4-4963-9a31-30d16dda62a3" xsi:nil="true"/>
  </documentManagement>
</p:properties>
</file>

<file path=customXml/item2.xml><?xml version="1.0" encoding="utf-8"?>
<?mso-contentType ?>
<FormTemplates xmlns="http://schemas.microsoft.com/sharepoint/v3/contenttype/forms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Marketing Document" ma:contentTypeID="0x010100B2E962E0281B5445B5A191291FEE86A9010100D5F6DD9A9B8A7A4CB1A4482FEA2BAF29" ma:contentTypeVersion="81" ma:contentTypeDescription="" ma:contentTypeScope="" ma:versionID="1bbd2a047fe8900a13da60a75f48de53">
  <xsd:schema xmlns:xsd="http://www.w3.org/2001/XMLSchema" xmlns:xs="http://www.w3.org/2001/XMLSchema" xmlns:p="http://schemas.microsoft.com/office/2006/metadata/properties" xmlns:ns2="16756c2e-6cd5-4ec7-b18d-635fa13e878a" xmlns:ns3="c0ce68d2-f4a4-4963-9a31-30d16dda62a3" xmlns:ns4="07292b78-37ad-4bcc-ab98-73a1a618de71" targetNamespace="http://schemas.microsoft.com/office/2006/metadata/properties" ma:root="true" ma:fieldsID="c6bd6919d8b29b6777ac83d5e99d5ffd" ns2:_="" ns3:_="" ns4:_="">
    <xsd:import namespace="16756c2e-6cd5-4ec7-b18d-635fa13e878a"/>
    <xsd:import namespace="c0ce68d2-f4a4-4963-9a31-30d16dda62a3"/>
    <xsd:import namespace="07292b78-37ad-4bcc-ab98-73a1a618de71"/>
    <xsd:element name="properties">
      <xsd:complexType>
        <xsd:sequence>
          <xsd:element name="documentManagement">
            <xsd:complexType>
              <xsd:all>
                <xsd:element ref="ns2:OwlDocPortalDescription" minOccurs="0"/>
                <xsd:element ref="ns2:OwlPromotionVersion" minOccurs="0"/>
                <xsd:element ref="ns2:OwlMarketingTab" minOccurs="0"/>
                <xsd:element ref="ns2:OwlReviewExpiryDate" minOccurs="0"/>
                <xsd:element ref="ns2:OwlPromoteItem" minOccurs="0"/>
                <xsd:element ref="ns3:TaxCatchAll" minOccurs="0"/>
                <xsd:element ref="ns2:OwlDisplayPage" minOccurs="0"/>
                <xsd:element ref="ns2:OwlDocumentGroup" minOccurs="0"/>
                <xsd:element ref="ns4:q31w" minOccurs="0"/>
                <xsd:element ref="ns2:p9daea888ee24cb08c24be5868cfbc9e" minOccurs="0"/>
                <xsd:element ref="ns3:TaxCatchAllLabel" minOccurs="0"/>
                <xsd:element ref="ns2:a307835481e145e599055a0cc7665129" minOccurs="0"/>
                <xsd:element ref="ns2:ed318bbe71da46d9880178f213ecefc3" minOccurs="0"/>
                <xsd:element ref="ns2:mdce353e6bde4523ba5bc5cf0ed14dac" minOccurs="0"/>
                <xsd:element ref="ns2:aae8b8b2f6b6446f8eaf6528f2afa3ed" minOccurs="0"/>
                <xsd:element ref="ns2:e1b65cae4c8e4083a2711408af7fe198" minOccurs="0"/>
                <xsd:element ref="ns2:p2c84d4dd03943d3b2a2ecb3b17223e4" minOccurs="0"/>
                <xsd:element ref="ns2:a29574d6f06442c6a236a2b32fdc5688" minOccurs="0"/>
                <xsd:element ref="ns2:o2299b84a56844f0b3e22843a55b07f2" minOccurs="0"/>
                <xsd:element ref="ns2:d5535452cea2437ba4abacdf7ef3a2ec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LengthInSeconds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  <xsd:element ref="ns4:lcf76f155ced4ddcb4097134ff3c332f" minOccurs="0"/>
                <xsd:element ref="ns2:SharedWithUsers" minOccurs="0"/>
                <xsd:element ref="ns2:SharedWithDetails" minOccurs="0"/>
                <xsd:element ref="ns4:MediaServiceObjectDetectorVersions" minOccurs="0"/>
                <xsd:element ref="ns4:MediaServiceSearchProperties" minOccurs="0"/>
                <xsd:element ref="ns4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756c2e-6cd5-4ec7-b18d-635fa13e878a" elementFormDefault="qualified">
    <xsd:import namespace="http://schemas.microsoft.com/office/2006/documentManagement/types"/>
    <xsd:import namespace="http://schemas.microsoft.com/office/infopath/2007/PartnerControls"/>
    <xsd:element name="OwlDocPortalDescription" ma:index="2" nillable="true" ma:displayName="Document Description" ma:internalName="OwlDocPortalDescription" ma:readOnly="false">
      <xsd:simpleType>
        <xsd:restriction base="dms:Note">
          <xsd:maxLength value="255"/>
        </xsd:restriction>
      </xsd:simpleType>
    </xsd:element>
    <xsd:element name="OwlPromotionVersion" ma:index="7" nillable="true" ma:displayName="Promotion Version" ma:internalName="OwlPromotionVersion" ma:readOnly="false">
      <xsd:simpleType>
        <xsd:restriction base="dms:Text">
          <xsd:maxLength value="255"/>
        </xsd:restriction>
      </xsd:simpleType>
    </xsd:element>
    <xsd:element name="OwlMarketingTab" ma:index="8" nillable="true" ma:displayName="Marketing Tab" ma:format="Dropdown" ma:indexed="true" ma:internalName="OwlMarketingTab" ma:readOnly="false">
      <xsd:simpleType>
        <xsd:restriction base="dms:Choice">
          <xsd:enumeration value="Get Started"/>
          <xsd:enumeration value="Culinary"/>
          <xsd:enumeration value="Print"/>
          <xsd:enumeration value="Digital"/>
          <xsd:enumeration value="Social Media"/>
          <xsd:enumeration value="Smallwares and Fixtures"/>
          <xsd:enumeration value="Planograms"/>
          <xsd:enumeration value="Grab and Go"/>
          <xsd:enumeration value="Resources"/>
          <xsd:enumeration value="Build Materials"/>
          <xsd:enumeration value="Limited Time Offers"/>
          <xsd:enumeration value="Point of Sale"/>
          <xsd:enumeration value="Introduction"/>
          <xsd:enumeration value="Floorplans"/>
          <xsd:enumeration value="Sample Menu"/>
          <xsd:enumeration value="Required Reports"/>
          <xsd:enumeration value="Operations"/>
          <xsd:enumeration value="Notifications"/>
          <xsd:enumeration value="Brand Assets"/>
          <xsd:enumeration value="Contacts"/>
          <xsd:enumeration value="Catering &amp; Special Events"/>
          <xsd:enumeration value="Meet for Meals"/>
          <xsd:enumeration value="Teaching Kitchen"/>
          <xsd:enumeration value="Compass Family Meals"/>
          <xsd:enumeration value="General Marketing"/>
        </xsd:restriction>
      </xsd:simpleType>
    </xsd:element>
    <xsd:element name="OwlReviewExpiryDate" ma:index="11" nillable="true" ma:displayName="Review/Expiry Date" ma:format="DateOnly" ma:internalName="OwlReviewExpiryDate" ma:readOnly="false">
      <xsd:simpleType>
        <xsd:restriction base="dms:DateTime"/>
      </xsd:simpleType>
    </xsd:element>
    <xsd:element name="OwlPromoteItem" ma:index="12" nillable="true" ma:displayName="Promote Item" ma:indexed="true" ma:internalName="OwlPromoteItem" ma:readOnly="false">
      <xsd:simpleType>
        <xsd:restriction base="dms:Boolean"/>
      </xsd:simpleType>
    </xsd:element>
    <xsd:element name="OwlDisplayPage" ma:index="24" nillable="true" ma:displayName="Display Page" ma:indexed="true" ma:internalName="OwlDisplayPage" ma:readOnly="false">
      <xsd:simpleType>
        <xsd:restriction base="dms:Text">
          <xsd:maxLength value="255"/>
        </xsd:restriction>
      </xsd:simpleType>
    </xsd:element>
    <xsd:element name="OwlDocumentGroup" ma:index="25" nillable="true" ma:displayName="Document Group" ma:internalName="OwlDocumentGroup" ma:readOnly="false">
      <xsd:simpleType>
        <xsd:restriction base="dms:Text">
          <xsd:maxLength value="255"/>
        </xsd:restriction>
      </xsd:simpleType>
    </xsd:element>
    <xsd:element name="p9daea888ee24cb08c24be5868cfbc9e" ma:index="27" nillable="true" ma:taxonomy="true" ma:internalName="p9daea888ee24cb08c24be5868cfbc9e" ma:taxonomyFieldName="OwlContentTargetOptionsFour" ma:displayName="Unused Content Target Options Four" ma:readOnly="false" ma:fieldId="{99daea88-8ee2-4cb0-8c24-be5868cfbc9e}" ma:taxonomyMulti="true" ma:sspId="912e36a2-49b7-4b00-ba12-1750025de1a5" ma:termSetId="6c98997b-0863-48e6-8eab-2087fd98d599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a307835481e145e599055a0cc7665129" ma:index="29" nillable="true" ma:taxonomy="true" ma:internalName="a307835481e145e599055a0cc7665129" ma:taxonomyFieldName="OwlDocPortalCategory" ma:displayName="Document Category" ma:indexed="true" ma:readOnly="false" ma:fieldId="{a3078354-81e1-45e5-9905-5a0cc7665129}" ma:sspId="912e36a2-49b7-4b00-ba12-1750025de1a5" ma:termSetId="a16767b4-e283-4ed9-9962-dc242dd0ad51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ed318bbe71da46d9880178f213ecefc3" ma:index="30" nillable="true" ma:taxonomy="true" ma:internalName="ed318bbe71da46d9880178f213ecefc3" ma:taxonomyFieldName="OwlTags" ma:displayName="Tags" ma:readOnly="false" ma:fieldId="{ed318bbe-71da-46d9-8801-78f213ecefc3}" ma:taxonomyMulti="true" ma:sspId="912e36a2-49b7-4b00-ba12-1750025de1a5" ma:termSetId="0a7c3168-cd1c-4ce8-9508-c8789770a28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dce353e6bde4523ba5bc5cf0ed14dac" ma:index="31" nillable="true" ma:taxonomy="true" ma:internalName="mdce353e6bde4523ba5bc5cf0ed14dac" ma:taxonomyFieldName="OwlContentTargetOptionsThree" ma:displayName="Unused Content Target Options Three" ma:readOnly="false" ma:fieldId="{6dce353e-6bde-4523-ba5b-c5cf0ed14dac}" ma:taxonomyMulti="true" ma:sspId="912e36a2-49b7-4b00-ba12-1750025de1a5" ma:termSetId="cdba17e3-e32d-4aeb-b763-c581e960915a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aae8b8b2f6b6446f8eaf6528f2afa3ed" ma:index="32" nillable="true" ma:taxonomy="true" ma:internalName="aae8b8b2f6b6446f8eaf6528f2afa3ed" ma:taxonomyFieldName="OwlDepartmentOwner" ma:displayName="Department Owner" ma:readOnly="false" ma:default="73;#Envision Group|352582ae-5018-4646-80c1-0a0afae99c7b" ma:fieldId="{aae8b8b2-f6b6-446f-8eaf-6528f2afa3ed}" ma:taxonomyMulti="true" ma:sspId="912e36a2-49b7-4b00-ba12-1750025de1a5" ma:termSetId="4b09c375-7b55-4eb6-abfc-33328d3af21f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e1b65cae4c8e4083a2711408af7fe198" ma:index="33" nillable="true" ma:taxonomy="true" ma:internalName="e1b65cae4c8e4083a2711408af7fe198" ma:taxonomyFieldName="OwlMarketingCategory" ma:displayName="Marketing Category" ma:readOnly="false" ma:fieldId="{e1b65cae-4c8e-4083-a271-1408af7fe198}" ma:taxonomyMulti="true" ma:sspId="912e36a2-49b7-4b00-ba12-1750025de1a5" ma:termSetId="366d03cb-b408-4d30-ba2d-36afb5ae9f7c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p2c84d4dd03943d3b2a2ecb3b17223e4" ma:index="34" nillable="true" ma:taxonomy="true" ma:internalName="p2c84d4dd03943d3b2a2ecb3b17223e4" ma:taxonomyFieldName="OwlContentTargetOptionsTwo" ma:displayName="Unused Content Target Options Two" ma:readOnly="false" ma:fieldId="{92c84d4d-d039-43d3-b2a2-ecb3b17223e4}" ma:taxonomyMulti="true" ma:sspId="912e36a2-49b7-4b00-ba12-1750025de1a5" ma:termSetId="c9905963-0bd2-416e-a733-5199f0cee2fc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a29574d6f06442c6a236a2b32fdc5688" ma:index="35" nillable="true" ma:taxonomy="true" ma:internalName="a29574d6f06442c6a236a2b32fdc5688" ma:taxonomyFieldName="OwlPromotion" ma:displayName="Promotion" ma:readOnly="false" ma:fieldId="{a29574d6-f064-42c6-a236-a2b32fdc5688}" ma:taxonomyMulti="true" ma:sspId="912e36a2-49b7-4b00-ba12-1750025de1a5" ma:termSetId="e3b0a825-f336-4be0-9a69-2a0da93d4c02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o2299b84a56844f0b3e22843a55b07f2" ma:index="36" nillable="true" ma:taxonomy="true" ma:internalName="o2299b84a56844f0b3e22843a55b07f2" ma:taxonomyFieldName="OwlContentTargetOptionsOne" ma:displayName="Target Sector(s)" ma:readOnly="false" ma:default="30;#Wolfgang Puck Catering|cce7e79b-d3b6-40c0-816e-9112d5db53b7" ma:fieldId="{82299b84-a568-44f0-b3e2-2843a55b07f2}" ma:taxonomyMulti="true" ma:sspId="912e36a2-49b7-4b00-ba12-1750025de1a5" ma:termSetId="83fd38ca-fe11-409b-8e61-5627a24b2f7f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d5535452cea2437ba4abacdf7ef3a2ec" ma:index="37" nillable="true" ma:taxonomy="true" ma:internalName="d5535452cea2437ba4abacdf7ef3a2ec" ma:taxonomyFieldName="OwlBrand" ma:displayName="Brand" ma:readOnly="false" ma:fieldId="{d5535452-cea2-437b-a4ab-acdf7ef3a2ec}" ma:taxonomyMulti="true" ma:sspId="912e36a2-49b7-4b00-ba12-1750025de1a5" ma:termSetId="5cf80871-f657-41f3-a615-a8ead3fb7d52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SharedWithUsers" ma:index="5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5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ce68d2-f4a4-4963-9a31-30d16dda62a3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23d4d72d-4cf7-47c5-aa86-8113852f03d5}" ma:internalName="TaxCatchAll" ma:readOnly="false" ma:showField="CatchAllData" ma:web="16756c2e-6cd5-4ec7-b18d-635fa13e878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28" nillable="true" ma:displayName="Taxonomy Catch All Column1" ma:hidden="true" ma:list="{23d4d72d-4cf7-47c5-aa86-8113852f03d5}" ma:internalName="TaxCatchAllLabel" ma:readOnly="false" ma:showField="CatchAllDataLabel" ma:web="16756c2e-6cd5-4ec7-b18d-635fa13e878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92b78-37ad-4bcc-ab98-73a1a618de71" elementFormDefault="qualified">
    <xsd:import namespace="http://schemas.microsoft.com/office/2006/documentManagement/types"/>
    <xsd:import namespace="http://schemas.microsoft.com/office/infopath/2007/PartnerControls"/>
    <xsd:element name="q31w" ma:index="26" nillable="true" ma:displayName="Sort Order" ma:internalName="q31w" ma:readOnly="false" ma:percentage="FALSE">
      <xsd:simpleType>
        <xsd:restriction base="dms:Number"/>
      </xsd:simpleType>
    </xsd:element>
    <xsd:element name="MediaServiceMetadata" ma:index="3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3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4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4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42" nillable="true" ma:displayName="Tags" ma:internalName="MediaServiceAutoTags" ma:readOnly="true">
      <xsd:simpleType>
        <xsd:restriction base="dms:Text"/>
      </xsd:simpleType>
    </xsd:element>
    <xsd:element name="MediaServiceOCR" ma:index="4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4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4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4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4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49" nillable="true" ma:taxonomy="true" ma:internalName="lcf76f155ced4ddcb4097134ff3c332f" ma:taxonomyFieldName="MediaServiceImageTags" ma:displayName="Image Tags" ma:readOnly="false" ma:fieldId="{5cf76f15-5ced-4ddc-b409-7134ff3c332f}" ma:taxonomyMulti="true" ma:sspId="912e36a2-49b7-4b00-ba12-1750025de1a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5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5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5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B9AD1D2-5A19-4F83-9727-49E6E6C5B725}"/>
</file>

<file path=customXml/itemProps2.xml><?xml version="1.0" encoding="utf-8"?>
<ds:datastoreItem xmlns:ds="http://schemas.openxmlformats.org/officeDocument/2006/customXml" ds:itemID="{A6BA9955-EE83-443F-AF42-F04985DB6A1B}"/>
</file>

<file path=customXml/itemProps3.xml><?xml version="1.0" encoding="utf-8"?>
<ds:datastoreItem xmlns:ds="http://schemas.openxmlformats.org/officeDocument/2006/customXml" ds:itemID="{45A6DDED-ECD1-4DE6-9457-87B144D035B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Compass Group, NAD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Associate Editable Station Spreadsheet</dc:title>
  <dc:subject/>
  <dc:creator>Green, Becky</dc:creator>
  <cp:keywords>Sustainability; waste not; tracking</cp:keywords>
  <dc:description/>
  <cp:lastModifiedBy>High, Becky</cp:lastModifiedBy>
  <cp:revision/>
  <dcterms:created xsi:type="dcterms:W3CDTF">2016-02-12T18:37:15Z</dcterms:created>
  <dcterms:modified xsi:type="dcterms:W3CDTF">2023-05-10T16:03:29Z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0x010100B2E962E0281B5445B5A191291FEE86A9010100D5F6DD9A9B8A7A4CB1A4482FEA2BAF29</vt:lpwstr>
  </property>
  <property fmtid="{D5CDD505-2E9C-101B-9397-08002B2CF9AE}" pid="3" name="_dlc_DocIdItemGuid">
    <vt:lpwstr>9dccc2d8-5007-4bc0-af5d-fe05f70aa9e9</vt:lpwstr>
  </property>
  <property fmtid="{D5CDD505-2E9C-101B-9397-08002B2CF9AE}" pid="4" name="TaxKeyword">
    <vt:lpwstr>16827;#waste not|aba8fa87-3843-4128-a061-55a1bba8f5ce;#6901;#Sustainability|b22af3ca-aa46-4921-b9c8-f4584cdc13fb;#3018;#tracking|bb42bb40-4227-4fcb-8e65-303079fcad44</vt:lpwstr>
  </property>
  <property fmtid="{D5CDD505-2E9C-101B-9397-08002B2CF9AE}" pid="5" name="Document_x0020_Category">
    <vt:lpwstr/>
  </property>
  <property fmtid="{D5CDD505-2E9C-101B-9397-08002B2CF9AE}" pid="6" name="DocumentAudience">
    <vt:lpwstr>All</vt:lpwstr>
  </property>
  <property fmtid="{D5CDD505-2E9C-101B-9397-08002B2CF9AE}" pid="7" name="Document Category">
    <vt:lpwstr/>
  </property>
  <property fmtid="{D5CDD505-2E9C-101B-9397-08002B2CF9AE}" pid="8" name="OwlContentTargetOptionsFour">
    <vt:lpwstr/>
  </property>
  <property fmtid="{D5CDD505-2E9C-101B-9397-08002B2CF9AE}" pid="9" name="URL">
    <vt:lpwstr/>
  </property>
  <property fmtid="{D5CDD505-2E9C-101B-9397-08002B2CF9AE}" pid="10" name="OwlTags">
    <vt:lpwstr/>
  </property>
  <property fmtid="{D5CDD505-2E9C-101B-9397-08002B2CF9AE}" pid="11" name="OwlBrand">
    <vt:lpwstr/>
  </property>
  <property fmtid="{D5CDD505-2E9C-101B-9397-08002B2CF9AE}" pid="12" name="OwlDocPortalCategory">
    <vt:lpwstr/>
  </property>
  <property fmtid="{D5CDD505-2E9C-101B-9397-08002B2CF9AE}" pid="13" name="OwlDepartmentOwner">
    <vt:lpwstr>73;#Envision Group|352582ae-5018-4646-80c1-0a0afae99c7b</vt:lpwstr>
  </property>
  <property fmtid="{D5CDD505-2E9C-101B-9397-08002B2CF9AE}" pid="14" name="OwlContentTargetOptionsThree">
    <vt:lpwstr/>
  </property>
  <property fmtid="{D5CDD505-2E9C-101B-9397-08002B2CF9AE}" pid="15" name="OwlContentTargetOptionsTwo">
    <vt:lpwstr/>
  </property>
  <property fmtid="{D5CDD505-2E9C-101B-9397-08002B2CF9AE}" pid="16" name="OwlMarketingCategory">
    <vt:lpwstr>84;#Sustainability|c9092def-aec6-4c42-a70f-a86bcd4486d6</vt:lpwstr>
  </property>
  <property fmtid="{D5CDD505-2E9C-101B-9397-08002B2CF9AE}" pid="17" name="OwlPromotion">
    <vt:lpwstr>298;#Waste Not|de06c811-dabd-4a8f-888a-0ca2d6a40782</vt:lpwstr>
  </property>
  <property fmtid="{D5CDD505-2E9C-101B-9397-08002B2CF9AE}" pid="18" name="OwlContentTargetOptionsOne">
    <vt:lpwstr>12;#Bon Appetit|607fe1f1-fb1b-4f37-b8d1-4d6395c9d315;#13;#Canteen|d01254fd-e0b5-4c4e-b660-ddcde211a41e;#14;#Chartwells Higher Ed|aa0aedf5-2621-4928-b0e9-b9555c84e38b;#15;#Chartwells K12|ef7bcc4d-a189-4865-90e0-fe70531a0a47;#16;#Corporate and Foodbuy|71bac368-42c4-4223-9917-b4d495c79f1e;#17;#Crothall Healthcare|546e0a3f-8236-4e8e-b561-5e4a7d70910c;#18;#CulinArt|24f3eb7d-a28f-4402-b364-b4a43a446b2b;#19;#Eurest|70fe04b1-3b4b-4f02-9146-c9b5efd9d559;#20;#ESFM|79c56ac8-236e-4f48-9688-7c34afde359d;#21;#Flik|a8a77723-bcf0-4ea3-9592-738f69ee82e2;#22;#Flik ISD|db5c75f7-70b0-4ee8-8e86-af2ca5993b59;#23;#Levy|b50391ad-6c41-4f72-ab11-2064718c1a0d;#24;#Morrison Living|508f5511-2d49-4469-bfc1-7b4b67133b5c;#25;#Morrison Healthcare|0c2dbd74-0ae7-47e9-8895-fb7dd3a36608;#26;#Restaurant Associates|5e5baa1a-41bd-45c5-b760-c035be11d967;#27;#SSC|a770fa4a-5fb6-4018-b29c-093e5778251d;#28;#Touchpoint|e51276f7-7f50-4b23-a298-3fe1f2f17f48;#29;#Unidine|f900c8ca-f41f-4bd4-9b0c-36f27423c583;#30;#Wolfgang Puck Catering|cce7e79b-d3b6-40c0-816e-9112d5db53b7</vt:lpwstr>
  </property>
  <property fmtid="{D5CDD505-2E9C-101B-9397-08002B2CF9AE}" pid="19" name="Order">
    <vt:r8>431800</vt:r8>
  </property>
  <property fmtid="{D5CDD505-2E9C-101B-9397-08002B2CF9AE}" pid="20" name="MediaServiceImageTags">
    <vt:lpwstr/>
  </property>
</Properties>
</file>